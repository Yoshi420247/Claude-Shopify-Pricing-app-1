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Competitor Benchmarks" sheetId="2" state="visible" r:id="rId2"/>
    <sheet xmlns:r="http://schemas.openxmlformats.org/officeDocument/2006/relationships" name="SKU Master" sheetId="3" state="visible" r:id="rId3"/>
  </sheets>
  <definedNames>
    <definedName name="_xlnm._FilterDatabase" localSheetId="1" hidden="1">'Competitor Benchmarks'!$A$2:$G$18</definedName>
    <definedName name="_xlnm._FilterDatabase" localSheetId="2" hidden="1">'SKU Master'!$A$2:$AF$186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.00"/>
    <numFmt numFmtId="166" formatCode="$0.0000"/>
  </numFmts>
  <fonts count="5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1F4E79"/>
    </font>
    <font>
      <color rgb="000000FF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3" fillId="0" borderId="1" pivotButton="0" quotePrefix="0" xfId="0"/>
    <xf numFmtId="2" fontId="3" fillId="0" borderId="1" pivotButton="0" quotePrefix="0" xfId="0"/>
    <xf numFmtId="164" fontId="3" fillId="0" borderId="1" pivotButton="0" quotePrefix="0" xfId="0"/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/>
    </xf>
    <xf numFmtId="3" fontId="0" fillId="0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2" customWidth="1" min="3" max="3"/>
  </cols>
  <sheetData>
    <row r="1">
      <c r="A1" s="1" t="inlineStr">
        <is>
          <t>Pricing Assumptions</t>
        </is>
      </c>
    </row>
    <row r="3">
      <c r="A3" s="2" t="inlineStr">
        <is>
          <t>Competitive positioning</t>
        </is>
      </c>
    </row>
    <row r="4">
      <c r="A4" t="inlineStr">
        <is>
          <t>Commodity undercut vs competitor</t>
        </is>
      </c>
      <c r="B4" s="3" t="n">
        <v>0.97</v>
      </c>
    </row>
    <row r="5">
      <c r="A5" t="inlineStr">
        <is>
          <t>Branded premium vs competitor</t>
        </is>
      </c>
      <c r="B5" s="3" t="n">
        <v>1.05</v>
      </c>
    </row>
    <row r="7">
      <c r="A7" s="2" t="inlineStr">
        <is>
          <t>Quantity tier factors</t>
        </is>
      </c>
    </row>
    <row r="8">
      <c r="A8" s="4" t="inlineStr">
        <is>
          <t>Tier</t>
        </is>
      </c>
      <c r="B8" s="4" t="inlineStr">
        <is>
          <t>Max Pack Qty</t>
        </is>
      </c>
      <c r="C8" s="4" t="inlineStr">
        <is>
          <t>Factor</t>
        </is>
      </c>
    </row>
    <row r="9">
      <c r="A9" s="5" t="inlineStr">
        <is>
          <t>Small</t>
        </is>
      </c>
      <c r="B9" s="6" t="n">
        <v>100</v>
      </c>
      <c r="C9" s="7" t="n">
        <v>1.05</v>
      </c>
    </row>
    <row r="10">
      <c r="A10" s="5" t="inlineStr">
        <is>
          <t>Medium</t>
        </is>
      </c>
      <c r="B10" s="6" t="n">
        <v>500</v>
      </c>
      <c r="C10" s="7" t="n">
        <v>1</v>
      </c>
    </row>
    <row r="11">
      <c r="A11" s="5" t="inlineStr">
        <is>
          <t>Large</t>
        </is>
      </c>
      <c r="B11" s="6" t="n">
        <v>2000</v>
      </c>
      <c r="C11" s="7" t="n">
        <v>0.95</v>
      </c>
    </row>
    <row r="12">
      <c r="A12" s="5" t="inlineStr">
        <is>
          <t>XL</t>
        </is>
      </c>
      <c r="B12" s="6" t="n">
        <v>999999</v>
      </c>
      <c r="C12" s="7" t="n">
        <v>0.9</v>
      </c>
    </row>
    <row r="14">
      <c r="A14" s="2" t="inlineStr">
        <is>
          <t>Margin targets</t>
        </is>
      </c>
    </row>
    <row r="15">
      <c r="A15" s="4" t="inlineStr">
        <is>
          <t>CategoryGroup</t>
        </is>
      </c>
      <c r="B15" s="4" t="inlineStr">
        <is>
          <t>Target Margin</t>
        </is>
      </c>
      <c r="C15" s="4" t="inlineStr">
        <is>
          <t>Min Margin</t>
        </is>
      </c>
    </row>
    <row r="16">
      <c r="A16" s="5" t="inlineStr">
        <is>
          <t>Packaging</t>
        </is>
      </c>
      <c r="B16" s="8" t="n">
        <v>0.35</v>
      </c>
      <c r="C16" s="8" t="n">
        <v>0.25</v>
      </c>
    </row>
    <row r="17">
      <c r="A17" s="5" t="inlineStr">
        <is>
          <t>Bags</t>
        </is>
      </c>
      <c r="B17" s="8" t="n">
        <v>0.35</v>
      </c>
      <c r="C17" s="8" t="n">
        <v>0.25</v>
      </c>
    </row>
    <row r="18">
      <c r="A18" s="5" t="inlineStr">
        <is>
          <t>Branded</t>
        </is>
      </c>
      <c r="B18" s="8" t="n">
        <v>0.55</v>
      </c>
      <c r="C18" s="8" t="n">
        <v>0.4</v>
      </c>
    </row>
    <row r="19">
      <c r="A19" s="5" t="inlineStr">
        <is>
          <t>Custom</t>
        </is>
      </c>
      <c r="B19" s="8" t="n">
        <v>0.6</v>
      </c>
      <c r="C19" s="8" t="n">
        <v>0.45</v>
      </c>
    </row>
    <row r="20">
      <c r="A20" s="5" t="inlineStr">
        <is>
          <t>Other</t>
        </is>
      </c>
      <c r="B20" s="8" t="n">
        <v>0.4</v>
      </c>
      <c r="C20" s="8" t="n">
        <v>0.3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10" customWidth="1" min="4" max="4"/>
    <col width="12" customWidth="1" min="5" max="5"/>
    <col width="44" customWidth="1" min="6" max="6"/>
    <col width="50" customWidth="1" min="7" max="7"/>
  </cols>
  <sheetData>
    <row r="1">
      <c r="A1" s="1" t="inlineStr">
        <is>
          <t>Competitor Benchmarks (sources in URL column)</t>
        </is>
      </c>
    </row>
    <row r="2">
      <c r="A2" s="4" t="inlineStr">
        <is>
          <t>Key</t>
        </is>
      </c>
      <c r="B2" s="4" t="inlineStr">
        <is>
          <t>Competitor</t>
        </is>
      </c>
      <c r="C2" s="4" t="inlineStr">
        <is>
          <t>Pack Price</t>
        </is>
      </c>
      <c r="D2" s="4" t="inlineStr">
        <is>
          <t>Pack Qty</t>
        </is>
      </c>
      <c r="E2" s="4" t="inlineStr">
        <is>
          <t>Unit Price</t>
        </is>
      </c>
      <c r="F2" s="4" t="inlineStr">
        <is>
          <t>URL</t>
        </is>
      </c>
      <c r="G2" s="4" t="inlineStr">
        <is>
          <t>Notes</t>
        </is>
      </c>
    </row>
    <row r="3">
      <c r="A3" s="9" t="inlineStr">
        <is>
          <t>Bags|3x4.5</t>
        </is>
      </c>
      <c r="B3" s="9" t="inlineStr">
        <is>
          <t>Dragon Chewer (1 gram, 1000 qty listing)</t>
        </is>
      </c>
      <c r="C3" s="10" t="n">
        <v>59.95</v>
      </c>
      <c r="D3" s="11" t="n">
        <v>1000</v>
      </c>
      <c r="E3" s="12" t="n">
        <v>0.05995</v>
      </c>
      <c r="F3" s="9" t="inlineStr">
        <is>
          <t>https://dragonchewer.com/collections/1000-qty-mylar-bags</t>
        </is>
      </c>
      <c r="G3" s="9" t="inlineStr">
        <is>
          <t>Listing shows 1 Gram Gloss Black &amp; Clear Mylar Bags (1000 qty) as low as $59.95/case ($0.05/unit).</t>
        </is>
      </c>
    </row>
    <row r="4">
      <c r="A4" s="9" t="inlineStr">
        <is>
          <t>Bags|3.6x5</t>
        </is>
      </c>
      <c r="B4" s="9" t="inlineStr">
        <is>
          <t>Dragon Chewer (1/8 oz black/clear, 1000 qty)</t>
        </is>
      </c>
      <c r="C4" s="10" t="n">
        <v>79.95</v>
      </c>
      <c r="D4" s="11" t="n">
        <v>1000</v>
      </c>
      <c r="E4" s="12" t="n">
        <v>0.07995000000000001</v>
      </c>
      <c r="F4" s="9" t="inlineStr">
        <is>
          <t>https://dragonchewer.com/products/1-8-ounce-gloss-black-clear-mylar-bags-1000-qty</t>
        </is>
      </c>
      <c r="G4" s="9" t="inlineStr">
        <is>
          <t>Product page shows sale price $79.95 for 1000 qty (3.62x5 style).</t>
        </is>
      </c>
    </row>
    <row r="5">
      <c r="A5" s="9" t="inlineStr">
        <is>
          <t>Bags|4x6.5</t>
        </is>
      </c>
      <c r="B5" s="9" t="inlineStr">
        <is>
          <t>Dragon Chewer (1/4 oz, 1000 qty listing)</t>
        </is>
      </c>
      <c r="C5" s="10" t="n">
        <v>79.95</v>
      </c>
      <c r="D5" s="11" t="n">
        <v>1000</v>
      </c>
      <c r="E5" s="12" t="n">
        <v>0.07995000000000001</v>
      </c>
      <c r="F5" s="9" t="inlineStr">
        <is>
          <t>https://dragonchewer.com/collections/1000-qty-mylar-bags</t>
        </is>
      </c>
      <c r="G5" s="9" t="inlineStr">
        <is>
          <t>Listing shows 1/4 Ounce Matte Black &amp; Clear Mylar Bags (1000 qty) as low as $79.95/case ($0.07/unit).</t>
        </is>
      </c>
    </row>
    <row r="6">
      <c r="A6" s="9" t="inlineStr">
        <is>
          <t>Bags|5x8</t>
        </is>
      </c>
      <c r="B6" s="9" t="inlineStr">
        <is>
          <t>Dragon Chewer (1/2 oz, 1000 qty listing)</t>
        </is>
      </c>
      <c r="C6" s="10" t="n">
        <v>109.95</v>
      </c>
      <c r="D6" s="11" t="n">
        <v>1000</v>
      </c>
      <c r="E6" s="12" t="n">
        <v>0.10995</v>
      </c>
      <c r="F6" s="9" t="inlineStr">
        <is>
          <t>https://dragonchewer.com/collections/1000-qty-mylar-bags</t>
        </is>
      </c>
      <c r="G6" s="9" t="inlineStr">
        <is>
          <t>Listing shows 1/2 Ounce Gloss Black &amp; Clear Mylar Bags (1000 qty) as low as $109.95/case ($0.10/unit).</t>
        </is>
      </c>
    </row>
    <row r="7">
      <c r="A7" s="9" t="inlineStr">
        <is>
          <t>Bags|6x9</t>
        </is>
      </c>
      <c r="B7" s="9" t="inlineStr">
        <is>
          <t>Dragon Chewer (1 oz, 1000 qty listing)</t>
        </is>
      </c>
      <c r="C7" s="10" t="n">
        <v>129.95</v>
      </c>
      <c r="D7" s="11" t="n">
        <v>1000</v>
      </c>
      <c r="E7" s="12" t="n">
        <v>0.12995</v>
      </c>
      <c r="F7" s="9" t="inlineStr">
        <is>
          <t>https://dragonchewer.com/collections/1000-qty-mylar-bags</t>
        </is>
      </c>
      <c r="G7" s="9" t="inlineStr">
        <is>
          <t>Listing shows 1 Ounce Gloss Black &amp; Clear Mylar Bags (1000 qty) as low as $129.95/case ($0.12/unit).</t>
        </is>
      </c>
    </row>
    <row r="8">
      <c r="A8" s="9" t="inlineStr">
        <is>
          <t>Bags|9x2.5</t>
        </is>
      </c>
      <c r="B8" s="9" t="inlineStr">
        <is>
          <t>Dragon Chewer (2.5x9 syringe bag, 1000 qty)</t>
        </is>
      </c>
      <c r="C8" s="10" t="n">
        <v>79.95</v>
      </c>
      <c r="D8" s="11" t="n">
        <v>1000</v>
      </c>
      <c r="E8" s="12" t="n">
        <v>0.07995000000000001</v>
      </c>
      <c r="F8" s="9" t="inlineStr">
        <is>
          <t>https://dragonchewer.com/products/2-5-x-9-inch-matte-black-syringe-mylar-bags-1000-qty</t>
        </is>
      </c>
      <c r="G8" s="9" t="inlineStr">
        <is>
          <t>Product page shows sale price $79.95 for 1000 qty (2.5x9).</t>
        </is>
      </c>
    </row>
    <row r="9">
      <c r="A9" s="9" t="inlineStr">
        <is>
          <t>Bags|4x6.5|low</t>
        </is>
      </c>
      <c r="B9" s="9" t="inlineStr">
        <is>
          <t>Marijuana Packaging (clearance sale)</t>
        </is>
      </c>
      <c r="C9" s="10" t="n">
        <v>44.81</v>
      </c>
      <c r="D9" s="11" t="n">
        <v>1000</v>
      </c>
      <c r="E9" s="12" t="n">
        <v>0.04481</v>
      </c>
      <c r="F9" s="9" t="inlineStr">
        <is>
          <t>https://marijuanapackaging.com/collections/mylar-bags/products/glossy-black-4-x-6-5-vista-mylar-tamper-evident-bags-7-grams-1000-box</t>
        </is>
      </c>
      <c r="G9" s="9" t="inlineStr">
        <is>
          <t>Sale price observed on product page; may be clearance / promotional.</t>
        </is>
      </c>
    </row>
    <row r="10">
      <c r="A10" s="9" t="inlineStr">
        <is>
          <t>Tubes|116mm</t>
        </is>
      </c>
      <c r="B10" s="9" t="inlineStr">
        <is>
          <t>Biohazard Inc (1000 count)</t>
        </is>
      </c>
      <c r="C10" s="10" t="n">
        <v>69</v>
      </c>
      <c r="D10" s="11" t="n">
        <v>1000</v>
      </c>
      <c r="E10" s="12" t="n">
        <v>0.06900000000000001</v>
      </c>
      <c r="F10" s="9" t="inlineStr">
        <is>
          <t>https://www.biohazardinc.com/products/pre-roll-child-resistant-opaque-tubes-hinged-lid</t>
        </is>
      </c>
      <c r="G10" s="9" t="inlineStr">
        <is>
          <t>116mm black tubes, 1000ct listed at $69.00; page shows tiered pricing for larger case quantities.</t>
        </is>
      </c>
    </row>
    <row r="11">
      <c r="A11" s="9" t="inlineStr">
        <is>
          <t>Tubes|116mm|small</t>
        </is>
      </c>
      <c r="B11" s="9" t="inlineStr">
        <is>
          <t>Bag King (packs of 100)</t>
        </is>
      </c>
      <c r="C11" s="10" t="n">
        <v>12</v>
      </c>
      <c r="D11" s="11" t="n">
        <v>100</v>
      </c>
      <c r="E11" s="12" t="n">
        <v>0.12</v>
      </c>
      <c r="F11" s="9" t="inlineStr">
        <is>
          <t>https://www.bagking.com/products/pre-roll-tubes</t>
        </is>
      </c>
      <c r="G11" s="9" t="inlineStr">
        <is>
          <t>Bag King indicates $0.12 each and sold in packs of 100 (case quantity 1000).</t>
        </is>
      </c>
    </row>
    <row r="12">
      <c r="A12" s="9" t="inlineStr">
        <is>
          <t>Jars|7ml</t>
        </is>
      </c>
      <c r="B12" s="9" t="inlineStr">
        <is>
          <t>SODO LOCO (90 pack)</t>
        </is>
      </c>
      <c r="C12" s="10" t="n">
        <v>43</v>
      </c>
      <c r="D12" s="11" t="n">
        <v>90</v>
      </c>
      <c r="E12" s="12" t="n">
        <v>0.4777777777777778</v>
      </c>
      <c r="F12" s="9" t="inlineStr">
        <is>
          <t>https://sodoloco.com/products/low-profile-7ml-glass-jars-child-resistant-black-lid-90</t>
        </is>
      </c>
      <c r="G12" s="9" t="inlineStr">
        <is>
          <t>Low profile 7ml glass jar with black lid; 90 pack listed at $43.</t>
        </is>
      </c>
    </row>
    <row r="13">
      <c r="A13" s="9" t="inlineStr">
        <is>
          <t>Jars|5ml</t>
        </is>
      </c>
      <c r="B13" s="9" t="inlineStr">
        <is>
          <t>True Aroma (320 pack)</t>
        </is>
      </c>
      <c r="C13" s="10" t="n">
        <v>271.99</v>
      </c>
      <c r="D13" s="11" t="n">
        <v>320</v>
      </c>
      <c r="E13" s="12" t="n">
        <v>0.8499687500000001</v>
      </c>
      <c r="F13" s="9" t="inlineStr">
        <is>
          <t>https://truearoma.com/products/5ml-thick-clear-glass-containers-with-black-child-resistant-lids</t>
        </is>
      </c>
      <c r="G13" s="9" t="inlineStr">
        <is>
          <t>5ml thick clear glass containers with black child resistant lids; 320 pack listed at $271.99.</t>
        </is>
      </c>
    </row>
    <row r="14">
      <c r="A14" s="9" t="inlineStr">
        <is>
          <t>Jars|3oz</t>
        </is>
      </c>
      <c r="B14" s="9" t="inlineStr">
        <is>
          <t>Dragon Chewer (150 qty)</t>
        </is>
      </c>
      <c r="C14" s="10" t="n">
        <v>69.95</v>
      </c>
      <c r="D14" s="11" t="n">
        <v>150</v>
      </c>
      <c r="E14" s="12" t="n">
        <v>0.4663333333333334</v>
      </c>
      <c r="F14" s="9" t="inlineStr">
        <is>
          <t>https://dragonchewer.com/products/3-ounce-clear-glass-jar-child-resistant-white-smooth-cap-150-qty-1</t>
        </is>
      </c>
      <c r="G14" s="9" t="inlineStr">
        <is>
          <t>3 ounce glass jar with child resistant cap; 150 qty sale price $69.95.</t>
        </is>
      </c>
    </row>
    <row r="15">
      <c r="A15" s="9" t="inlineStr">
        <is>
          <t>Jars|5oz</t>
        </is>
      </c>
      <c r="B15" s="9" t="inlineStr">
        <is>
          <t>Innovative Sourcing (100 count)</t>
        </is>
      </c>
      <c r="C15" s="10" t="n">
        <v>64</v>
      </c>
      <c r="D15" s="11" t="n">
        <v>100</v>
      </c>
      <c r="E15" s="12" t="n">
        <v>0.64</v>
      </c>
      <c r="F15" s="9" t="inlineStr">
        <is>
          <t>https://www.innovativesourcing.com/products/5oz-glass-jars-with-black-cr-lid</t>
        </is>
      </c>
      <c r="G15" s="9" t="inlineStr">
        <is>
          <t>5oz glass jar with black CR lid; 100 count case price $64 (unit $0.64).</t>
        </is>
      </c>
    </row>
    <row r="16">
      <c r="A16" s="9" t="inlineStr">
        <is>
          <t>Jars|10oz</t>
        </is>
      </c>
      <c r="B16" s="9" t="inlineStr">
        <is>
          <t>Greentech Packaging (72 case)</t>
        </is>
      </c>
      <c r="C16" s="10" t="n">
        <v>154.08</v>
      </c>
      <c r="D16" s="11" t="n">
        <v>72</v>
      </c>
      <c r="E16" s="12" t="n">
        <v>2.14</v>
      </c>
      <c r="F16" s="9" t="inlineStr">
        <is>
          <t>https://greentechpackaging.com/products/glass-jar-10oz-black-cap</t>
        </is>
      </c>
      <c r="G16" s="9" t="inlineStr">
        <is>
          <t>Greentech packaging listing shows 72/case price $154.08 and unit price $2.14.</t>
        </is>
      </c>
    </row>
    <row r="17">
      <c r="A17" s="9" t="inlineStr">
        <is>
          <t>Jars|18oz</t>
        </is>
      </c>
      <c r="B17" s="9" t="inlineStr">
        <is>
          <t>Premium Vials (48 count)</t>
        </is>
      </c>
      <c r="C17" s="10" t="n">
        <v>159.99</v>
      </c>
      <c r="D17" s="11" t="n">
        <v>48</v>
      </c>
      <c r="E17" s="12" t="n">
        <v>3.333125</v>
      </c>
      <c r="F17" s="9" t="inlineStr">
        <is>
          <t>https://www.premiumvials.com/10-oz-child-resistant-glass-jars-with-black-caps-14-grams-72-count/</t>
        </is>
      </c>
      <c r="G17" s="9" t="inlineStr">
        <is>
          <t>Premium Vials related products list 18oz child resistant jar black cap, 48 count, $159.99.</t>
        </is>
      </c>
    </row>
    <row r="18">
      <c r="A18" s="9" t="inlineStr">
        <is>
          <t>FEP|Roll</t>
        </is>
      </c>
      <c r="B18" s="9" t="inlineStr">
        <is>
          <t>Kraft &amp; Kitchen (FEP bulk roll)</t>
        </is>
      </c>
      <c r="C18" s="10" t="n">
        <v>210</v>
      </c>
      <c r="D18" s="11" t="n">
        <v>50</v>
      </c>
      <c r="E18" s="12" t="n">
        <v>4.2</v>
      </c>
      <c r="F18" s="9" t="inlineStr">
        <is>
          <t>https://kraftandkitchen.com/products/kraft-kitchen-sheet-ptfe-rolls</t>
        </is>
      </c>
      <c r="G18" s="9" t="inlineStr">
        <is>
          <t>Related items on PTFE roll page show "Bulk Roll of FEP film... from $210.00" (length not shown in static HTML; assumed 50ft to align with common 50ft rolls).</t>
        </is>
      </c>
    </row>
  </sheetData>
  <autoFilter ref="A2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8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42" customWidth="1" min="3" max="3"/>
    <col width="34" customWidth="1" min="4" max="4"/>
    <col width="18" customWidth="1" min="5" max="5"/>
    <col width="12" customWidth="1" min="6" max="6"/>
    <col width="10" customWidth="1" min="7" max="7"/>
    <col width="8" customWidth="1" min="8" max="8"/>
    <col width="14" customWidth="1" min="9" max="9"/>
    <col width="14" customWidth="1" min="10" max="10"/>
    <col width="14" customWidth="1" min="11" max="11"/>
    <col width="14" customWidth="1" min="12" max="12"/>
    <col width="12" customWidth="1" min="13" max="13"/>
    <col width="16" customWidth="1" min="14" max="14"/>
    <col width="16" customWidth="1" min="15" max="15"/>
    <col width="18" customWidth="1" min="16" max="16"/>
    <col width="16" customWidth="1" min="17" max="17"/>
    <col width="16" customWidth="1" min="18" max="18"/>
    <col width="18" customWidth="1" min="19" max="19"/>
    <col width="12" customWidth="1" min="20" max="20"/>
    <col width="44" customWidth="1" min="21" max="21"/>
    <col width="44" customWidth="1" min="22" max="22"/>
    <col width="10" customWidth="1" min="23" max="23"/>
    <col width="12" customWidth="1" min="24" max="24"/>
    <col width="12" customWidth="1" min="25" max="25"/>
    <col width="10" customWidth="1" min="26" max="26"/>
    <col width="16" customWidth="1" min="27" max="27"/>
    <col width="18" customWidth="1" min="28" max="28"/>
    <col width="18" customWidth="1" min="29" max="29"/>
    <col width="18" customWidth="1" min="30" max="30"/>
    <col width="20" customWidth="1" min="31" max="31"/>
    <col width="16" customWidth="1" min="32" max="32"/>
  </cols>
  <sheetData>
    <row r="1">
      <c r="A1" s="1" t="inlineStr">
        <is>
          <t>Master SKU List with Competitor Benchmarks + Recommended Pricing</t>
        </is>
      </c>
    </row>
    <row r="2" ht="42" customHeight="1">
      <c r="A2" s="4" t="inlineStr">
        <is>
          <t>Handle</t>
        </is>
      </c>
      <c r="B2" s="4" t="inlineStr">
        <is>
          <t>Product Title</t>
        </is>
      </c>
      <c r="C2" s="4" t="inlineStr">
        <is>
          <t>Short Description</t>
        </is>
      </c>
      <c r="D2" s="4" t="inlineStr">
        <is>
          <t>Variant Options</t>
        </is>
      </c>
      <c r="E2" s="4" t="inlineStr">
        <is>
          <t>SKU</t>
        </is>
      </c>
      <c r="F2" s="4" t="inlineStr">
        <is>
          <t>CategoryGroup</t>
        </is>
      </c>
      <c r="G2" s="4" t="inlineStr">
        <is>
          <t>Pack Qty</t>
        </is>
      </c>
      <c r="H2" s="4" t="inlineStr">
        <is>
          <t>Unit Type</t>
        </is>
      </c>
      <c r="I2" s="4" t="inlineStr">
        <is>
          <t>Current Pack Price</t>
        </is>
      </c>
      <c r="J2" s="4" t="inlineStr">
        <is>
          <t>Current Pack COGS</t>
        </is>
      </c>
      <c r="K2" s="4" t="inlineStr">
        <is>
          <t>Current Unit Price</t>
        </is>
      </c>
      <c r="L2" s="4" t="inlineStr">
        <is>
          <t>Current Unit Cost</t>
        </is>
      </c>
      <c r="M2" s="4" t="inlineStr">
        <is>
          <t>Current Margin %</t>
        </is>
      </c>
      <c r="N2" s="4" t="inlineStr">
        <is>
          <t>Competitor Ref Pack Price</t>
        </is>
      </c>
      <c r="O2" s="4" t="inlineStr">
        <is>
          <t>Competitor Ref Pack Qty</t>
        </is>
      </c>
      <c r="P2" s="4" t="inlineStr">
        <is>
          <t>Competitor Ref Unit Price</t>
        </is>
      </c>
      <c r="Q2" s="4" t="inlineStr">
        <is>
          <t>Competitor Low Pack Price</t>
        </is>
      </c>
      <c r="R2" s="4" t="inlineStr">
        <is>
          <t>Competitor Low Pack Qty</t>
        </is>
      </c>
      <c r="S2" s="4" t="inlineStr">
        <is>
          <t>Competitor Low Unit Price</t>
        </is>
      </c>
      <c r="T2" s="4" t="inlineStr">
        <is>
          <t>Benchmark Type</t>
        </is>
      </c>
      <c r="U2" s="4" t="inlineStr">
        <is>
          <t>Competitor Source URL</t>
        </is>
      </c>
      <c r="V2" s="4" t="inlineStr">
        <is>
          <t>Benchmark Notes</t>
        </is>
      </c>
      <c r="W2" s="4" t="inlineStr">
        <is>
          <t>Tier Factor</t>
        </is>
      </c>
      <c r="X2" s="4" t="inlineStr">
        <is>
          <t>Position Factor</t>
        </is>
      </c>
      <c r="Y2" s="4" t="inlineStr">
        <is>
          <t>Target Margin</t>
        </is>
      </c>
      <c r="Z2" s="4" t="inlineStr">
        <is>
          <t>Min Margin</t>
        </is>
      </c>
      <c r="AA2" s="4" t="inlineStr">
        <is>
          <t>Base Rec Unit Price</t>
        </is>
      </c>
      <c r="AB2" s="4" t="inlineStr">
        <is>
          <t>Min Unit Price (Margin)</t>
        </is>
      </c>
      <c r="AC2" s="4" t="inlineStr">
        <is>
          <t>Recommended Unit Price</t>
        </is>
      </c>
      <c r="AD2" s="4" t="inlineStr">
        <is>
          <t>Recommended Pack Price</t>
        </is>
      </c>
      <c r="AE2" s="4" t="inlineStr">
        <is>
          <t>Recommended Shopify Price</t>
        </is>
      </c>
      <c r="AF2" s="4" t="inlineStr">
        <is>
          <t>Pricing Notes</t>
        </is>
      </c>
    </row>
    <row r="3" ht="46" customHeight="1">
      <c r="A3" s="13" t="inlineStr">
        <is>
          <t>6ml-glass-no-neck-jar</t>
        </is>
      </c>
      <c r="B3" s="9" t="inlineStr">
        <is>
          <t>6ml Glass No-Neck Jar with Silicone lid</t>
        </is>
      </c>
      <c r="C3" s="9" t="inlineStr">
        <is>
          <t>The 6ml Glass No‑Neck Jar with Silicone Lid is a straight-sided glass concentrate jar built for extractors, processors, and brands who hate leaving material behind. The no‑neck design makes every scrape clean and efficie…</t>
        </is>
      </c>
      <c r="D3" s="9" t="inlineStr">
        <is>
          <t>Quantity: 200</t>
        </is>
      </c>
      <c r="E3" s="13" t="inlineStr">
        <is>
          <t>NONECK1</t>
        </is>
      </c>
      <c r="F3" s="13" t="inlineStr">
        <is>
          <t>Packaging</t>
        </is>
      </c>
      <c r="G3" s="11" t="n">
        <v>200</v>
      </c>
      <c r="H3" s="13" t="inlineStr">
        <is>
          <t>pcs</t>
        </is>
      </c>
      <c r="I3" s="10" t="n">
        <v>39.99</v>
      </c>
      <c r="J3" s="10" t="inlineStr"/>
      <c r="K3" s="12">
        <f>IFERROR(I3/G3,"")</f>
        <v/>
      </c>
      <c r="L3" s="12">
        <f>IFERROR(J3/G3,"")</f>
        <v/>
      </c>
      <c r="M3" s="14">
        <f>IFERROR((I3-J3)/I3,"")</f>
        <v/>
      </c>
      <c r="N3" s="10" t="inlineStr"/>
      <c r="O3" s="11" t="inlineStr"/>
      <c r="P3" s="12">
        <f>IFERROR(N3/O3,"")</f>
        <v/>
      </c>
      <c r="Q3" s="10" t="inlineStr"/>
      <c r="R3" s="11" t="inlineStr"/>
      <c r="S3" s="12">
        <f>IFERROR(Q3/R3,"")</f>
        <v/>
      </c>
      <c r="T3" s="13" t="inlineStr"/>
      <c r="U3" s="9" t="inlineStr"/>
      <c r="V3" s="9" t="inlineStr"/>
      <c r="W3" s="13">
        <f>IF(G3="","",IF(G3&lt;=Assumptions!$B$9,Assumptions!$C$9,IF(G3&lt;=Assumptions!$B$10,Assumptions!$C$10,IF(G3&lt;=Assumptions!$B$11,Assumptions!$C$11,Assumptions!$C$12))))</f>
        <v/>
      </c>
      <c r="X3" s="13">
        <f>IF(F3="Branded",Assumptions!$B$5,IF(OR(F3="Packaging",F3="Bags"),Assumptions!$B$4,1))</f>
        <v/>
      </c>
      <c r="Y3" s="14">
        <f>IFERROR(VLOOKUP(F3,Assumptions!$A$16:$C$20,2,FALSE),0.40)</f>
        <v/>
      </c>
      <c r="Z3" s="14">
        <f>IFERROR(VLOOKUP(F3,Assumptions!$A$16:$C$20,3,FALSE),0.30)</f>
        <v/>
      </c>
      <c r="AA3" s="12">
        <f>IF(P3&lt;&gt;"",P3*X3*W3,IF(L3&lt;&gt;"",L3/(1-Y3),K3))</f>
        <v/>
      </c>
      <c r="AB3" s="12">
        <f>IF(L3&lt;&gt;"",L3/(1-Z3),"")</f>
        <v/>
      </c>
      <c r="AC3" s="12">
        <f>IF(AB3="",AA3,MAX(AA3,AB3))</f>
        <v/>
      </c>
      <c r="AD3" s="10">
        <f>IF(AC3="","",AC3*G3)</f>
        <v/>
      </c>
      <c r="AE3" s="10">
        <f>IF(AD3="","",ROUNDUP(AD3,0)-0.01)</f>
        <v/>
      </c>
      <c r="AF3" s="9">
        <f>IF(P3&lt;&gt;"","Competitor-based",IF(L3&lt;&gt;"","Cost+margin","Needs review"))</f>
        <v/>
      </c>
    </row>
    <row r="4" ht="46" customHeight="1">
      <c r="A4" s="13" t="inlineStr">
        <is>
          <t>6ml-glass-no-neck-jar</t>
        </is>
      </c>
      <c r="B4" s="9" t="inlineStr">
        <is>
          <t>6ml Glass No-Neck Jar with Silicone lid</t>
        </is>
      </c>
      <c r="C4" s="9" t="inlineStr">
        <is>
          <t>The 6ml Glass No‑Neck Jar with Silicone Lid is a straight-sided glass concentrate jar built for extractors, processors, and brands who hate leaving material behind. The no‑neck design makes every scrape clean and efficie…</t>
        </is>
      </c>
      <c r="D4" s="9" t="inlineStr">
        <is>
          <t>Quantity: 400</t>
        </is>
      </c>
      <c r="E4" s="13" t="inlineStr">
        <is>
          <t>NONECK2</t>
        </is>
      </c>
      <c r="F4" s="13" t="inlineStr">
        <is>
          <t>Packaging</t>
        </is>
      </c>
      <c r="G4" s="11" t="n">
        <v>400</v>
      </c>
      <c r="H4" s="13" t="inlineStr">
        <is>
          <t>pcs</t>
        </is>
      </c>
      <c r="I4" s="10" t="n">
        <v>42.99</v>
      </c>
      <c r="J4" s="10" t="inlineStr"/>
      <c r="K4" s="12">
        <f>IFERROR(I4/G4,"")</f>
        <v/>
      </c>
      <c r="L4" s="12">
        <f>IFERROR(J4/G4,"")</f>
        <v/>
      </c>
      <c r="M4" s="14">
        <f>IFERROR((I4-J4)/I4,"")</f>
        <v/>
      </c>
      <c r="N4" s="10" t="inlineStr"/>
      <c r="O4" s="11" t="inlineStr"/>
      <c r="P4" s="12">
        <f>IFERROR(N4/O4,"")</f>
        <v/>
      </c>
      <c r="Q4" s="10" t="inlineStr"/>
      <c r="R4" s="11" t="inlineStr"/>
      <c r="S4" s="12">
        <f>IFERROR(Q4/R4,"")</f>
        <v/>
      </c>
      <c r="T4" s="13" t="inlineStr"/>
      <c r="U4" s="9" t="inlineStr"/>
      <c r="V4" s="9" t="inlineStr"/>
      <c r="W4" s="13">
        <f>IF(G4="","",IF(G4&lt;=Assumptions!$B$9,Assumptions!$C$9,IF(G4&lt;=Assumptions!$B$10,Assumptions!$C$10,IF(G4&lt;=Assumptions!$B$11,Assumptions!$C$11,Assumptions!$C$12))))</f>
        <v/>
      </c>
      <c r="X4" s="13">
        <f>IF(F4="Branded",Assumptions!$B$5,IF(OR(F4="Packaging",F4="Bags"),Assumptions!$B$4,1))</f>
        <v/>
      </c>
      <c r="Y4" s="14">
        <f>IFERROR(VLOOKUP(F4,Assumptions!$A$16:$C$20,2,FALSE),0.40)</f>
        <v/>
      </c>
      <c r="Z4" s="14">
        <f>IFERROR(VLOOKUP(F4,Assumptions!$A$16:$C$20,3,FALSE),0.30)</f>
        <v/>
      </c>
      <c r="AA4" s="12">
        <f>IF(P4&lt;&gt;"",P4*X4*W4,IF(L4&lt;&gt;"",L4/(1-Y4),K4))</f>
        <v/>
      </c>
      <c r="AB4" s="12">
        <f>IF(L4&lt;&gt;"",L4/(1-Z4),"")</f>
        <v/>
      </c>
      <c r="AC4" s="12">
        <f>IF(AB4="",AA4,MAX(AA4,AB4))</f>
        <v/>
      </c>
      <c r="AD4" s="10">
        <f>IF(AC4="","",AC4*G4)</f>
        <v/>
      </c>
      <c r="AE4" s="10">
        <f>IF(AD4="","",ROUNDUP(AD4,0)-0.01)</f>
        <v/>
      </c>
      <c r="AF4" s="9">
        <f>IF(P4&lt;&gt;"","Competitor-based",IF(L4&lt;&gt;"","Cost+margin","Needs review"))</f>
        <v/>
      </c>
    </row>
    <row r="5" ht="46" customHeight="1">
      <c r="A5" s="13" t="inlineStr">
        <is>
          <t>6ml-glass-no-neck-jar</t>
        </is>
      </c>
      <c r="B5" s="9" t="inlineStr">
        <is>
          <t>6ml Glass No-Neck Jar with Silicone lid</t>
        </is>
      </c>
      <c r="C5" s="9" t="inlineStr">
        <is>
          <t>The 6ml Glass No‑Neck Jar with Silicone Lid is a straight-sided glass concentrate jar built for extractors, processors, and brands who hate leaving material behind. The no‑neck design makes every scrape clean and efficie…</t>
        </is>
      </c>
      <c r="D5" s="9" t="inlineStr">
        <is>
          <t>Quantity: 1000</t>
        </is>
      </c>
      <c r="E5" s="13" t="inlineStr">
        <is>
          <t>NONECK3</t>
        </is>
      </c>
      <c r="F5" s="13" t="inlineStr">
        <is>
          <t>Packaging</t>
        </is>
      </c>
      <c r="G5" s="11" t="n">
        <v>1000</v>
      </c>
      <c r="H5" s="13" t="inlineStr">
        <is>
          <t>pcs</t>
        </is>
      </c>
      <c r="I5" s="10" t="n">
        <v>49.99</v>
      </c>
      <c r="J5" s="10" t="inlineStr"/>
      <c r="K5" s="12">
        <f>IFERROR(I5/G5,"")</f>
        <v/>
      </c>
      <c r="L5" s="12">
        <f>IFERROR(J5/G5,"")</f>
        <v/>
      </c>
      <c r="M5" s="14">
        <f>IFERROR((I5-J5)/I5,"")</f>
        <v/>
      </c>
      <c r="N5" s="10" t="inlineStr"/>
      <c r="O5" s="11" t="inlineStr"/>
      <c r="P5" s="12">
        <f>IFERROR(N5/O5,"")</f>
        <v/>
      </c>
      <c r="Q5" s="10" t="inlineStr"/>
      <c r="R5" s="11" t="inlineStr"/>
      <c r="S5" s="12">
        <f>IFERROR(Q5/R5,"")</f>
        <v/>
      </c>
      <c r="T5" s="13" t="inlineStr"/>
      <c r="U5" s="9" t="inlineStr"/>
      <c r="V5" s="9" t="inlineStr"/>
      <c r="W5" s="13">
        <f>IF(G5="","",IF(G5&lt;=Assumptions!$B$9,Assumptions!$C$9,IF(G5&lt;=Assumptions!$B$10,Assumptions!$C$10,IF(G5&lt;=Assumptions!$B$11,Assumptions!$C$11,Assumptions!$C$12))))</f>
        <v/>
      </c>
      <c r="X5" s="13">
        <f>IF(F5="Branded",Assumptions!$B$5,IF(OR(F5="Packaging",F5="Bags"),Assumptions!$B$4,1))</f>
        <v/>
      </c>
      <c r="Y5" s="14">
        <f>IFERROR(VLOOKUP(F5,Assumptions!$A$16:$C$20,2,FALSE),0.40)</f>
        <v/>
      </c>
      <c r="Z5" s="14">
        <f>IFERROR(VLOOKUP(F5,Assumptions!$A$16:$C$20,3,FALSE),0.30)</f>
        <v/>
      </c>
      <c r="AA5" s="12">
        <f>IF(P5&lt;&gt;"",P5*X5*W5,IF(L5&lt;&gt;"",L5/(1-Y5),K5))</f>
        <v/>
      </c>
      <c r="AB5" s="12">
        <f>IF(L5&lt;&gt;"",L5/(1-Z5),"")</f>
        <v/>
      </c>
      <c r="AC5" s="12">
        <f>IF(AB5="",AA5,MAX(AA5,AB5))</f>
        <v/>
      </c>
      <c r="AD5" s="10">
        <f>IF(AC5="","",AC5*G5)</f>
        <v/>
      </c>
      <c r="AE5" s="10">
        <f>IF(AD5="","",ROUNDUP(AD5,0)-0.01)</f>
        <v/>
      </c>
      <c r="AF5" s="9">
        <f>IF(P5&lt;&gt;"","Competitor-based",IF(L5&lt;&gt;"","Cost+margin","Needs review"))</f>
        <v/>
      </c>
    </row>
    <row r="6" ht="46" customHeight="1">
      <c r="A6" s="13" t="inlineStr">
        <is>
          <t>7ml-screw-top-jars-with-black-lids</t>
        </is>
      </c>
      <c r="B6" s="9" t="inlineStr">
        <is>
          <t>7ml Glass Jars- Low Profile heavy bottom- Screw Top with Lids</t>
        </is>
      </c>
      <c r="C6" s="9" t="inlineStr">
        <is>
          <t>The 7ml Low Profile Heavy Bottom Glass Jar is a lab-grade concentrate container built for extractors, processors, and brands who need packaging that performs on the bench and looks right on the shelf. At 7ml (0.24 fl oz)…</t>
        </is>
      </c>
      <c r="D6" s="9" t="inlineStr">
        <is>
          <t>Quantity: 90 / Lid Color: Black / Glass: Clear</t>
        </is>
      </c>
      <c r="E6" s="13" t="inlineStr">
        <is>
          <t>7MLJAR-01B</t>
        </is>
      </c>
      <c r="F6" s="13" t="inlineStr">
        <is>
          <t>Packaging</t>
        </is>
      </c>
      <c r="G6" s="11" t="n">
        <v>90</v>
      </c>
      <c r="H6" s="13" t="inlineStr">
        <is>
          <t>pcs</t>
        </is>
      </c>
      <c r="I6" s="10" t="n">
        <v>49.99</v>
      </c>
      <c r="J6" s="10" t="inlineStr"/>
      <c r="K6" s="12">
        <f>IFERROR(I6/G6,"")</f>
        <v/>
      </c>
      <c r="L6" s="12">
        <f>IFERROR(J6/G6,"")</f>
        <v/>
      </c>
      <c r="M6" s="14">
        <f>IFERROR((I6-J6)/I6,"")</f>
        <v/>
      </c>
      <c r="N6" s="10" t="n">
        <v>43</v>
      </c>
      <c r="O6" s="11" t="n">
        <v>90</v>
      </c>
      <c r="P6" s="12">
        <f>IFERROR(N6/O6,"")</f>
        <v/>
      </c>
      <c r="Q6" s="10" t="inlineStr"/>
      <c r="R6" s="11" t="inlineStr"/>
      <c r="S6" s="12">
        <f>IFERROR(Q6/R6,"")</f>
        <v/>
      </c>
      <c r="T6" s="13" t="inlineStr">
        <is>
          <t>Observed</t>
        </is>
      </c>
      <c r="U6" s="9" t="inlineStr">
        <is>
          <t>https://sodoloco.com/products/low-profile-7ml-glass-jars-child-resistant-black-lid-90</t>
        </is>
      </c>
      <c r="V6" s="9" t="inlineStr">
        <is>
          <t>Low profile 7ml glass jar with black lid; 90 pack listed at $43.</t>
        </is>
      </c>
      <c r="W6" s="13">
        <f>IF(G6="","",IF(G6&lt;=Assumptions!$B$9,Assumptions!$C$9,IF(G6&lt;=Assumptions!$B$10,Assumptions!$C$10,IF(G6&lt;=Assumptions!$B$11,Assumptions!$C$11,Assumptions!$C$12))))</f>
        <v/>
      </c>
      <c r="X6" s="13">
        <f>IF(F6="Branded",Assumptions!$B$5,IF(OR(F6="Packaging",F6="Bags"),Assumptions!$B$4,1))</f>
        <v/>
      </c>
      <c r="Y6" s="14">
        <f>IFERROR(VLOOKUP(F6,Assumptions!$A$16:$C$20,2,FALSE),0.40)</f>
        <v/>
      </c>
      <c r="Z6" s="14">
        <f>IFERROR(VLOOKUP(F6,Assumptions!$A$16:$C$20,3,FALSE),0.30)</f>
        <v/>
      </c>
      <c r="AA6" s="12">
        <f>IF(P6&lt;&gt;"",P6*X6*W6,IF(L6&lt;&gt;"",L6/(1-Y6),K6))</f>
        <v/>
      </c>
      <c r="AB6" s="12">
        <f>IF(L6&lt;&gt;"",L6/(1-Z6),"")</f>
        <v/>
      </c>
      <c r="AC6" s="12">
        <f>IF(AB6="",AA6,MAX(AA6,AB6))</f>
        <v/>
      </c>
      <c r="AD6" s="10">
        <f>IF(AC6="","",AC6*G6)</f>
        <v/>
      </c>
      <c r="AE6" s="10">
        <f>IF(AD6="","",ROUNDUP(AD6,0)-0.01)</f>
        <v/>
      </c>
      <c r="AF6" s="9">
        <f>IF(P6&lt;&gt;"","Competitor-based",IF(L6&lt;&gt;"","Cost+margin","Needs review"))</f>
        <v/>
      </c>
    </row>
    <row r="7" ht="46" customHeight="1">
      <c r="A7" s="13" t="inlineStr">
        <is>
          <t>7ml-screw-top-jars-with-black-lids</t>
        </is>
      </c>
      <c r="B7" s="9" t="inlineStr">
        <is>
          <t>7ml Glass Jars- Low Profile heavy bottom- Screw Top with Lids</t>
        </is>
      </c>
      <c r="C7" s="9" t="inlineStr">
        <is>
          <t>The 7ml Low Profile Heavy Bottom Glass Jar is a lab-grade concentrate container built for extractors, processors, and brands who need packaging that performs on the bench and looks right on the shelf. At 7ml (0.24 fl oz)…</t>
        </is>
      </c>
      <c r="D7" s="9" t="inlineStr">
        <is>
          <t>Quantity: 90 / Lid Color: Black / Glass: Frosted</t>
        </is>
      </c>
      <c r="E7" s="13" t="inlineStr">
        <is>
          <t>7MLJAR-01BF</t>
        </is>
      </c>
      <c r="F7" s="13" t="inlineStr">
        <is>
          <t>Packaging</t>
        </is>
      </c>
      <c r="G7" s="11" t="n">
        <v>90</v>
      </c>
      <c r="H7" s="13" t="inlineStr">
        <is>
          <t>pcs</t>
        </is>
      </c>
      <c r="I7" s="10" t="n">
        <v>9.99</v>
      </c>
      <c r="J7" s="10" t="inlineStr"/>
      <c r="K7" s="12">
        <f>IFERROR(I7/G7,"")</f>
        <v/>
      </c>
      <c r="L7" s="12">
        <f>IFERROR(J7/G7,"")</f>
        <v/>
      </c>
      <c r="M7" s="14">
        <f>IFERROR((I7-J7)/I7,"")</f>
        <v/>
      </c>
      <c r="N7" s="10" t="n">
        <v>43</v>
      </c>
      <c r="O7" s="11" t="n">
        <v>90</v>
      </c>
      <c r="P7" s="12">
        <f>IFERROR(N7/O7,"")</f>
        <v/>
      </c>
      <c r="Q7" s="10" t="inlineStr"/>
      <c r="R7" s="11" t="inlineStr"/>
      <c r="S7" s="12">
        <f>IFERROR(Q7/R7,"")</f>
        <v/>
      </c>
      <c r="T7" s="13" t="inlineStr">
        <is>
          <t>Observed</t>
        </is>
      </c>
      <c r="U7" s="9" t="inlineStr">
        <is>
          <t>https://sodoloco.com/products/low-profile-7ml-glass-jars-child-resistant-black-lid-90</t>
        </is>
      </c>
      <c r="V7" s="9" t="inlineStr">
        <is>
          <t>Low profile 7ml glass jar with black lid; 90 pack listed at $43.</t>
        </is>
      </c>
      <c r="W7" s="13">
        <f>IF(G7="","",IF(G7&lt;=Assumptions!$B$9,Assumptions!$C$9,IF(G7&lt;=Assumptions!$B$10,Assumptions!$C$10,IF(G7&lt;=Assumptions!$B$11,Assumptions!$C$11,Assumptions!$C$12))))</f>
        <v/>
      </c>
      <c r="X7" s="13">
        <f>IF(F7="Branded",Assumptions!$B$5,IF(OR(F7="Packaging",F7="Bags"),Assumptions!$B$4,1))</f>
        <v/>
      </c>
      <c r="Y7" s="14">
        <f>IFERROR(VLOOKUP(F7,Assumptions!$A$16:$C$20,2,FALSE),0.40)</f>
        <v/>
      </c>
      <c r="Z7" s="14">
        <f>IFERROR(VLOOKUP(F7,Assumptions!$A$16:$C$20,3,FALSE),0.30)</f>
        <v/>
      </c>
      <c r="AA7" s="12">
        <f>IF(P7&lt;&gt;"",P7*X7*W7,IF(L7&lt;&gt;"",L7/(1-Y7),K7))</f>
        <v/>
      </c>
      <c r="AB7" s="12">
        <f>IF(L7&lt;&gt;"",L7/(1-Z7),"")</f>
        <v/>
      </c>
      <c r="AC7" s="12">
        <f>IF(AB7="",AA7,MAX(AA7,AB7))</f>
        <v/>
      </c>
      <c r="AD7" s="10">
        <f>IF(AC7="","",AC7*G7)</f>
        <v/>
      </c>
      <c r="AE7" s="10">
        <f>IF(AD7="","",ROUNDUP(AD7,0)-0.01)</f>
        <v/>
      </c>
      <c r="AF7" s="9">
        <f>IF(P7&lt;&gt;"","Competitor-based",IF(L7&lt;&gt;"","Cost+margin","Needs review"))</f>
        <v/>
      </c>
    </row>
    <row r="8" ht="46" customHeight="1">
      <c r="A8" s="13" t="inlineStr">
        <is>
          <t>7ml-screw-top-jars-with-black-lids</t>
        </is>
      </c>
      <c r="B8" s="9" t="inlineStr">
        <is>
          <t>7ml Glass Jars- Low Profile heavy bottom- Screw Top with Lids</t>
        </is>
      </c>
      <c r="C8" s="9" t="inlineStr">
        <is>
          <t>The 7ml Low Profile Heavy Bottom Glass Jar is a lab-grade concentrate container built for extractors, processors, and brands who need packaging that performs on the bench and looks right on the shelf. At 7ml (0.24 fl oz)…</t>
        </is>
      </c>
      <c r="D8" s="9" t="inlineStr">
        <is>
          <t>Quantity: 180 / Lid Color: Black / Glass: Clear</t>
        </is>
      </c>
      <c r="E8" s="13" t="inlineStr">
        <is>
          <t>7MLJAR-02B</t>
        </is>
      </c>
      <c r="F8" s="13" t="inlineStr">
        <is>
          <t>Packaging</t>
        </is>
      </c>
      <c r="G8" s="11" t="n">
        <v>180</v>
      </c>
      <c r="H8" s="13" t="inlineStr">
        <is>
          <t>pcs</t>
        </is>
      </c>
      <c r="I8" s="10" t="n">
        <v>12.99</v>
      </c>
      <c r="J8" s="10" t="inlineStr"/>
      <c r="K8" s="12">
        <f>IFERROR(I8/G8,"")</f>
        <v/>
      </c>
      <c r="L8" s="12">
        <f>IFERROR(J8/G8,"")</f>
        <v/>
      </c>
      <c r="M8" s="14">
        <f>IFERROR((I8-J8)/I8,"")</f>
        <v/>
      </c>
      <c r="N8" s="10" t="n">
        <v>43</v>
      </c>
      <c r="O8" s="11" t="n">
        <v>90</v>
      </c>
      <c r="P8" s="12">
        <f>IFERROR(N8/O8,"")</f>
        <v/>
      </c>
      <c r="Q8" s="10" t="inlineStr"/>
      <c r="R8" s="11" t="inlineStr"/>
      <c r="S8" s="12">
        <f>IFERROR(Q8/R8,"")</f>
        <v/>
      </c>
      <c r="T8" s="13" t="inlineStr">
        <is>
          <t>Observed</t>
        </is>
      </c>
      <c r="U8" s="9" t="inlineStr">
        <is>
          <t>https://sodoloco.com/products/low-profile-7ml-glass-jars-child-resistant-black-lid-90</t>
        </is>
      </c>
      <c r="V8" s="9" t="inlineStr">
        <is>
          <t>Low profile 7ml glass jar with black lid; 90 pack listed at $43.</t>
        </is>
      </c>
      <c r="W8" s="13">
        <f>IF(G8="","",IF(G8&lt;=Assumptions!$B$9,Assumptions!$C$9,IF(G8&lt;=Assumptions!$B$10,Assumptions!$C$10,IF(G8&lt;=Assumptions!$B$11,Assumptions!$C$11,Assumptions!$C$12))))</f>
        <v/>
      </c>
      <c r="X8" s="13">
        <f>IF(F8="Branded",Assumptions!$B$5,IF(OR(F8="Packaging",F8="Bags"),Assumptions!$B$4,1))</f>
        <v/>
      </c>
      <c r="Y8" s="14">
        <f>IFERROR(VLOOKUP(F8,Assumptions!$A$16:$C$20,2,FALSE),0.40)</f>
        <v/>
      </c>
      <c r="Z8" s="14">
        <f>IFERROR(VLOOKUP(F8,Assumptions!$A$16:$C$20,3,FALSE),0.30)</f>
        <v/>
      </c>
      <c r="AA8" s="12">
        <f>IF(P8&lt;&gt;"",P8*X8*W8,IF(L8&lt;&gt;"",L8/(1-Y8),K8))</f>
        <v/>
      </c>
      <c r="AB8" s="12">
        <f>IF(L8&lt;&gt;"",L8/(1-Z8),"")</f>
        <v/>
      </c>
      <c r="AC8" s="12">
        <f>IF(AB8="",AA8,MAX(AA8,AB8))</f>
        <v/>
      </c>
      <c r="AD8" s="10">
        <f>IF(AC8="","",AC8*G8)</f>
        <v/>
      </c>
      <c r="AE8" s="10">
        <f>IF(AD8="","",ROUNDUP(AD8,0)-0.01)</f>
        <v/>
      </c>
      <c r="AF8" s="9">
        <f>IF(P8&lt;&gt;"","Competitor-based",IF(L8&lt;&gt;"","Cost+margin","Needs review"))</f>
        <v/>
      </c>
    </row>
    <row r="9" ht="46" customHeight="1">
      <c r="A9" s="13" t="inlineStr">
        <is>
          <t>7ml-screw-top-jars-with-black-lids</t>
        </is>
      </c>
      <c r="B9" s="9" t="inlineStr">
        <is>
          <t>7ml Glass Jars- Low Profile heavy bottom- Screw Top with Lids</t>
        </is>
      </c>
      <c r="C9" s="9" t="inlineStr">
        <is>
          <t>The 7ml Low Profile Heavy Bottom Glass Jar is a lab-grade concentrate container built for extractors, processors, and brands who need packaging that performs on the bench and looks right on the shelf. At 7ml (0.24 fl oz)…</t>
        </is>
      </c>
      <c r="D9" s="9" t="inlineStr">
        <is>
          <t>Quantity: 180 / Lid Color: Black / Glass: Frosted</t>
        </is>
      </c>
      <c r="E9" s="13" t="inlineStr">
        <is>
          <t>7MLJAR-02BF</t>
        </is>
      </c>
      <c r="F9" s="13" t="inlineStr">
        <is>
          <t>Packaging</t>
        </is>
      </c>
      <c r="G9" s="11" t="n">
        <v>180</v>
      </c>
      <c r="H9" s="13" t="inlineStr">
        <is>
          <t>pcs</t>
        </is>
      </c>
      <c r="I9" s="10" t="n">
        <v>14.99</v>
      </c>
      <c r="J9" s="10" t="inlineStr"/>
      <c r="K9" s="12">
        <f>IFERROR(I9/G9,"")</f>
        <v/>
      </c>
      <c r="L9" s="12">
        <f>IFERROR(J9/G9,"")</f>
        <v/>
      </c>
      <c r="M9" s="14">
        <f>IFERROR((I9-J9)/I9,"")</f>
        <v/>
      </c>
      <c r="N9" s="10" t="n">
        <v>43</v>
      </c>
      <c r="O9" s="11" t="n">
        <v>90</v>
      </c>
      <c r="P9" s="12">
        <f>IFERROR(N9/O9,"")</f>
        <v/>
      </c>
      <c r="Q9" s="10" t="inlineStr"/>
      <c r="R9" s="11" t="inlineStr"/>
      <c r="S9" s="12">
        <f>IFERROR(Q9/R9,"")</f>
        <v/>
      </c>
      <c r="T9" s="13" t="inlineStr">
        <is>
          <t>Observed</t>
        </is>
      </c>
      <c r="U9" s="9" t="inlineStr">
        <is>
          <t>https://sodoloco.com/products/low-profile-7ml-glass-jars-child-resistant-black-lid-90</t>
        </is>
      </c>
      <c r="V9" s="9" t="inlineStr">
        <is>
          <t>Low profile 7ml glass jar with black lid; 90 pack listed at $43.</t>
        </is>
      </c>
      <c r="W9" s="13">
        <f>IF(G9="","",IF(G9&lt;=Assumptions!$B$9,Assumptions!$C$9,IF(G9&lt;=Assumptions!$B$10,Assumptions!$C$10,IF(G9&lt;=Assumptions!$B$11,Assumptions!$C$11,Assumptions!$C$12))))</f>
        <v/>
      </c>
      <c r="X9" s="13">
        <f>IF(F9="Branded",Assumptions!$B$5,IF(OR(F9="Packaging",F9="Bags"),Assumptions!$B$4,1))</f>
        <v/>
      </c>
      <c r="Y9" s="14">
        <f>IFERROR(VLOOKUP(F9,Assumptions!$A$16:$C$20,2,FALSE),0.40)</f>
        <v/>
      </c>
      <c r="Z9" s="14">
        <f>IFERROR(VLOOKUP(F9,Assumptions!$A$16:$C$20,3,FALSE),0.30)</f>
        <v/>
      </c>
      <c r="AA9" s="12">
        <f>IF(P9&lt;&gt;"",P9*X9*W9,IF(L9&lt;&gt;"",L9/(1-Y9),K9))</f>
        <v/>
      </c>
      <c r="AB9" s="12">
        <f>IF(L9&lt;&gt;"",L9/(1-Z9),"")</f>
        <v/>
      </c>
      <c r="AC9" s="12">
        <f>IF(AB9="",AA9,MAX(AA9,AB9))</f>
        <v/>
      </c>
      <c r="AD9" s="10">
        <f>IF(AC9="","",AC9*G9)</f>
        <v/>
      </c>
      <c r="AE9" s="10">
        <f>IF(AD9="","",ROUNDUP(AD9,0)-0.01)</f>
        <v/>
      </c>
      <c r="AF9" s="9">
        <f>IF(P9&lt;&gt;"","Competitor-based",IF(L9&lt;&gt;"","Cost+margin","Needs review"))</f>
        <v/>
      </c>
    </row>
    <row r="10" ht="46" customHeight="1">
      <c r="A10" s="13" t="inlineStr">
        <is>
          <t>7ml-screw-top-jars-with-black-lids</t>
        </is>
      </c>
      <c r="B10" s="9" t="inlineStr">
        <is>
          <t>7ml Glass Jars- Low Profile heavy bottom- Screw Top with Lids</t>
        </is>
      </c>
      <c r="C10" s="9" t="inlineStr">
        <is>
          <t>The 7ml Low Profile Heavy Bottom Glass Jar is a lab-grade concentrate container built for extractors, processors, and brands who need packaging that performs on the bench and looks right on the shelf. At 7ml (0.24 fl oz)…</t>
        </is>
      </c>
      <c r="D10" s="9" t="inlineStr">
        <is>
          <t>Quantity: 450 / Lid Color: Black / Glass: Clear</t>
        </is>
      </c>
      <c r="E10" s="13" t="inlineStr">
        <is>
          <t>7MLJAR-03B</t>
        </is>
      </c>
      <c r="F10" s="13" t="inlineStr">
        <is>
          <t>Packaging</t>
        </is>
      </c>
      <c r="G10" s="11" t="n">
        <v>450</v>
      </c>
      <c r="H10" s="13" t="inlineStr">
        <is>
          <t>pcs</t>
        </is>
      </c>
      <c r="I10" s="10" t="n">
        <v>49.99</v>
      </c>
      <c r="J10" s="10" t="inlineStr"/>
      <c r="K10" s="12">
        <f>IFERROR(I10/G10,"")</f>
        <v/>
      </c>
      <c r="L10" s="12">
        <f>IFERROR(J10/G10,"")</f>
        <v/>
      </c>
      <c r="M10" s="14">
        <f>IFERROR((I10-J10)/I10,"")</f>
        <v/>
      </c>
      <c r="N10" s="10" t="n">
        <v>43</v>
      </c>
      <c r="O10" s="11" t="n">
        <v>90</v>
      </c>
      <c r="P10" s="12">
        <f>IFERROR(N10/O10,"")</f>
        <v/>
      </c>
      <c r="Q10" s="10" t="inlineStr"/>
      <c r="R10" s="11" t="inlineStr"/>
      <c r="S10" s="12">
        <f>IFERROR(Q10/R10,"")</f>
        <v/>
      </c>
      <c r="T10" s="13" t="inlineStr">
        <is>
          <t>Observed</t>
        </is>
      </c>
      <c r="U10" s="9" t="inlineStr">
        <is>
          <t>https://sodoloco.com/products/low-profile-7ml-glass-jars-child-resistant-black-lid-90</t>
        </is>
      </c>
      <c r="V10" s="9" t="inlineStr">
        <is>
          <t>Low profile 7ml glass jar with black lid; 90 pack listed at $43.</t>
        </is>
      </c>
      <c r="W10" s="13">
        <f>IF(G10="","",IF(G10&lt;=Assumptions!$B$9,Assumptions!$C$9,IF(G10&lt;=Assumptions!$B$10,Assumptions!$C$10,IF(G10&lt;=Assumptions!$B$11,Assumptions!$C$11,Assumptions!$C$12))))</f>
        <v/>
      </c>
      <c r="X10" s="13">
        <f>IF(F10="Branded",Assumptions!$B$5,IF(OR(F10="Packaging",F10="Bags"),Assumptions!$B$4,1))</f>
        <v/>
      </c>
      <c r="Y10" s="14">
        <f>IFERROR(VLOOKUP(F10,Assumptions!$A$16:$C$20,2,FALSE),0.40)</f>
        <v/>
      </c>
      <c r="Z10" s="14">
        <f>IFERROR(VLOOKUP(F10,Assumptions!$A$16:$C$20,3,FALSE),0.30)</f>
        <v/>
      </c>
      <c r="AA10" s="12">
        <f>IF(P10&lt;&gt;"",P10*X10*W10,IF(L10&lt;&gt;"",L10/(1-Y10),K10))</f>
        <v/>
      </c>
      <c r="AB10" s="12">
        <f>IF(L10&lt;&gt;"",L10/(1-Z10),"")</f>
        <v/>
      </c>
      <c r="AC10" s="12">
        <f>IF(AB10="",AA10,MAX(AA10,AB10))</f>
        <v/>
      </c>
      <c r="AD10" s="10">
        <f>IF(AC10="","",AC10*G10)</f>
        <v/>
      </c>
      <c r="AE10" s="10">
        <f>IF(AD10="","",ROUNDUP(AD10,0)-0.01)</f>
        <v/>
      </c>
      <c r="AF10" s="9">
        <f>IF(P10&lt;&gt;"","Competitor-based",IF(L10&lt;&gt;"","Cost+margin","Needs review"))</f>
        <v/>
      </c>
    </row>
    <row r="11" ht="46" customHeight="1">
      <c r="A11" s="13" t="inlineStr">
        <is>
          <t>7ml-screw-top-jars-with-black-lids</t>
        </is>
      </c>
      <c r="B11" s="9" t="inlineStr">
        <is>
          <t>7ml Glass Jars- Low Profile heavy bottom- Screw Top with Lids</t>
        </is>
      </c>
      <c r="C11" s="9" t="inlineStr">
        <is>
          <t>The 7ml Low Profile Heavy Bottom Glass Jar is a lab-grade concentrate container built for extractors, processors, and brands who need packaging that performs on the bench and looks right on the shelf. At 7ml (0.24 fl oz)…</t>
        </is>
      </c>
      <c r="D11" s="9" t="inlineStr">
        <is>
          <t>Quantity: 450 / Lid Color: Black / Glass: Frosted</t>
        </is>
      </c>
      <c r="E11" s="13" t="inlineStr">
        <is>
          <t>7MLJAR-03BF</t>
        </is>
      </c>
      <c r="F11" s="13" t="inlineStr">
        <is>
          <t>Packaging</t>
        </is>
      </c>
      <c r="G11" s="11" t="n">
        <v>450</v>
      </c>
      <c r="H11" s="13" t="inlineStr">
        <is>
          <t>pcs</t>
        </is>
      </c>
      <c r="I11" s="10" t="n">
        <v>49.99</v>
      </c>
      <c r="J11" s="10" t="inlineStr"/>
      <c r="K11" s="12">
        <f>IFERROR(I11/G11,"")</f>
        <v/>
      </c>
      <c r="L11" s="12">
        <f>IFERROR(J11/G11,"")</f>
        <v/>
      </c>
      <c r="M11" s="14">
        <f>IFERROR((I11-J11)/I11,"")</f>
        <v/>
      </c>
      <c r="N11" s="10" t="n">
        <v>43</v>
      </c>
      <c r="O11" s="11" t="n">
        <v>90</v>
      </c>
      <c r="P11" s="12">
        <f>IFERROR(N11/O11,"")</f>
        <v/>
      </c>
      <c r="Q11" s="10" t="inlineStr"/>
      <c r="R11" s="11" t="inlineStr"/>
      <c r="S11" s="12">
        <f>IFERROR(Q11/R11,"")</f>
        <v/>
      </c>
      <c r="T11" s="13" t="inlineStr">
        <is>
          <t>Observed</t>
        </is>
      </c>
      <c r="U11" s="9" t="inlineStr">
        <is>
          <t>https://sodoloco.com/products/low-profile-7ml-glass-jars-child-resistant-black-lid-90</t>
        </is>
      </c>
      <c r="V11" s="9" t="inlineStr">
        <is>
          <t>Low profile 7ml glass jar with black lid; 90 pack listed at $43.</t>
        </is>
      </c>
      <c r="W11" s="13">
        <f>IF(G11="","",IF(G11&lt;=Assumptions!$B$9,Assumptions!$C$9,IF(G11&lt;=Assumptions!$B$10,Assumptions!$C$10,IF(G11&lt;=Assumptions!$B$11,Assumptions!$C$11,Assumptions!$C$12))))</f>
        <v/>
      </c>
      <c r="X11" s="13">
        <f>IF(F11="Branded",Assumptions!$B$5,IF(OR(F11="Packaging",F11="Bags"),Assumptions!$B$4,1))</f>
        <v/>
      </c>
      <c r="Y11" s="14">
        <f>IFERROR(VLOOKUP(F11,Assumptions!$A$16:$C$20,2,FALSE),0.40)</f>
        <v/>
      </c>
      <c r="Z11" s="14">
        <f>IFERROR(VLOOKUP(F11,Assumptions!$A$16:$C$20,3,FALSE),0.30)</f>
        <v/>
      </c>
      <c r="AA11" s="12">
        <f>IF(P11&lt;&gt;"",P11*X11*W11,IF(L11&lt;&gt;"",L11/(1-Y11),K11))</f>
        <v/>
      </c>
      <c r="AB11" s="12">
        <f>IF(L11&lt;&gt;"",L11/(1-Z11),"")</f>
        <v/>
      </c>
      <c r="AC11" s="12">
        <f>IF(AB11="",AA11,MAX(AA11,AB11))</f>
        <v/>
      </c>
      <c r="AD11" s="10">
        <f>IF(AC11="","",AC11*G11)</f>
        <v/>
      </c>
      <c r="AE11" s="10">
        <f>IF(AD11="","",ROUNDUP(AD11,0)-0.01)</f>
        <v/>
      </c>
      <c r="AF11" s="9">
        <f>IF(P11&lt;&gt;"","Competitor-based",IF(L11&lt;&gt;"","Cost+margin","Needs review"))</f>
        <v/>
      </c>
    </row>
    <row r="12" ht="46" customHeight="1">
      <c r="A12" s="13" t="inlineStr">
        <is>
          <t>7ml-screw-top-jars-with-black-lids</t>
        </is>
      </c>
      <c r="B12" s="9" t="inlineStr">
        <is>
          <t>7ml Glass Jars- Low Profile heavy bottom- Screw Top with Lids</t>
        </is>
      </c>
      <c r="C12" s="9" t="inlineStr">
        <is>
          <t>The 7ml Low Profile Heavy Bottom Glass Jar is a lab-grade concentrate container built for extractors, processors, and brands who need packaging that performs on the bench and looks right on the shelf. At 7ml (0.24 fl oz)…</t>
        </is>
      </c>
      <c r="D12" s="9" t="inlineStr">
        <is>
          <t>Quantity: 900 / Lid Color: Black / Glass: Clear</t>
        </is>
      </c>
      <c r="E12" s="13" t="inlineStr">
        <is>
          <t>7MLJAR-04B</t>
        </is>
      </c>
      <c r="F12" s="13" t="inlineStr">
        <is>
          <t>Packaging</t>
        </is>
      </c>
      <c r="G12" s="11" t="n">
        <v>900</v>
      </c>
      <c r="H12" s="13" t="inlineStr">
        <is>
          <t>pcs</t>
        </is>
      </c>
      <c r="I12" s="10" t="n">
        <v>29.99</v>
      </c>
      <c r="J12" s="10" t="inlineStr"/>
      <c r="K12" s="12">
        <f>IFERROR(I12/G12,"")</f>
        <v/>
      </c>
      <c r="L12" s="12">
        <f>IFERROR(J12/G12,"")</f>
        <v/>
      </c>
      <c r="M12" s="14">
        <f>IFERROR((I12-J12)/I12,"")</f>
        <v/>
      </c>
      <c r="N12" s="10" t="n">
        <v>43</v>
      </c>
      <c r="O12" s="11" t="n">
        <v>90</v>
      </c>
      <c r="P12" s="12">
        <f>IFERROR(N12/O12,"")</f>
        <v/>
      </c>
      <c r="Q12" s="10" t="inlineStr"/>
      <c r="R12" s="11" t="inlineStr"/>
      <c r="S12" s="12">
        <f>IFERROR(Q12/R12,"")</f>
        <v/>
      </c>
      <c r="T12" s="13" t="inlineStr">
        <is>
          <t>Observed</t>
        </is>
      </c>
      <c r="U12" s="9" t="inlineStr">
        <is>
          <t>https://sodoloco.com/products/low-profile-7ml-glass-jars-child-resistant-black-lid-90</t>
        </is>
      </c>
      <c r="V12" s="9" t="inlineStr">
        <is>
          <t>Low profile 7ml glass jar with black lid; 90 pack listed at $43.</t>
        </is>
      </c>
      <c r="W12" s="13">
        <f>IF(G12="","",IF(G12&lt;=Assumptions!$B$9,Assumptions!$C$9,IF(G12&lt;=Assumptions!$B$10,Assumptions!$C$10,IF(G12&lt;=Assumptions!$B$11,Assumptions!$C$11,Assumptions!$C$12))))</f>
        <v/>
      </c>
      <c r="X12" s="13">
        <f>IF(F12="Branded",Assumptions!$B$5,IF(OR(F12="Packaging",F12="Bags"),Assumptions!$B$4,1))</f>
        <v/>
      </c>
      <c r="Y12" s="14">
        <f>IFERROR(VLOOKUP(F12,Assumptions!$A$16:$C$20,2,FALSE),0.40)</f>
        <v/>
      </c>
      <c r="Z12" s="14">
        <f>IFERROR(VLOOKUP(F12,Assumptions!$A$16:$C$20,3,FALSE),0.30)</f>
        <v/>
      </c>
      <c r="AA12" s="12">
        <f>IF(P12&lt;&gt;"",P12*X12*W12,IF(L12&lt;&gt;"",L12/(1-Y12),K12))</f>
        <v/>
      </c>
      <c r="AB12" s="12">
        <f>IF(L12&lt;&gt;"",L12/(1-Z12),"")</f>
        <v/>
      </c>
      <c r="AC12" s="12">
        <f>IF(AB12="",AA12,MAX(AA12,AB12))</f>
        <v/>
      </c>
      <c r="AD12" s="10">
        <f>IF(AC12="","",AC12*G12)</f>
        <v/>
      </c>
      <c r="AE12" s="10">
        <f>IF(AD12="","",ROUNDUP(AD12,0)-0.01)</f>
        <v/>
      </c>
      <c r="AF12" s="9">
        <f>IF(P12&lt;&gt;"","Competitor-based",IF(L12&lt;&gt;"","Cost+margin","Needs review"))</f>
        <v/>
      </c>
    </row>
    <row r="13" ht="46" customHeight="1">
      <c r="A13" s="13" t="inlineStr">
        <is>
          <t>7ml-screw-top-jars-with-black-lids</t>
        </is>
      </c>
      <c r="B13" s="9" t="inlineStr">
        <is>
          <t>7ml Glass Jars- Low Profile heavy bottom- Screw Top with Lids</t>
        </is>
      </c>
      <c r="C13" s="9" t="inlineStr">
        <is>
          <t>The 7ml Low Profile Heavy Bottom Glass Jar is a lab-grade concentrate container built for extractors, processors, and brands who need packaging that performs on the bench and looks right on the shelf. At 7ml (0.24 fl oz)…</t>
        </is>
      </c>
      <c r="D13" s="9" t="inlineStr">
        <is>
          <t>Quantity: 900 / Lid Color: Black / Glass: Frosted</t>
        </is>
      </c>
      <c r="E13" s="13" t="inlineStr">
        <is>
          <t>7MLJAR-04BF</t>
        </is>
      </c>
      <c r="F13" s="13" t="inlineStr">
        <is>
          <t>Packaging</t>
        </is>
      </c>
      <c r="G13" s="11" t="n">
        <v>900</v>
      </c>
      <c r="H13" s="13" t="inlineStr">
        <is>
          <t>pcs</t>
        </is>
      </c>
      <c r="I13" s="10" t="n">
        <v>14.99</v>
      </c>
      <c r="J13" s="10" t="inlineStr"/>
      <c r="K13" s="12">
        <f>IFERROR(I13/G13,"")</f>
        <v/>
      </c>
      <c r="L13" s="12">
        <f>IFERROR(J13/G13,"")</f>
        <v/>
      </c>
      <c r="M13" s="14">
        <f>IFERROR((I13-J13)/I13,"")</f>
        <v/>
      </c>
      <c r="N13" s="10" t="n">
        <v>43</v>
      </c>
      <c r="O13" s="11" t="n">
        <v>90</v>
      </c>
      <c r="P13" s="12">
        <f>IFERROR(N13/O13,"")</f>
        <v/>
      </c>
      <c r="Q13" s="10" t="inlineStr"/>
      <c r="R13" s="11" t="inlineStr"/>
      <c r="S13" s="12">
        <f>IFERROR(Q13/R13,"")</f>
        <v/>
      </c>
      <c r="T13" s="13" t="inlineStr">
        <is>
          <t>Observed</t>
        </is>
      </c>
      <c r="U13" s="9" t="inlineStr">
        <is>
          <t>https://sodoloco.com/products/low-profile-7ml-glass-jars-child-resistant-black-lid-90</t>
        </is>
      </c>
      <c r="V13" s="9" t="inlineStr">
        <is>
          <t>Low profile 7ml glass jar with black lid; 90 pack listed at $43.</t>
        </is>
      </c>
      <c r="W13" s="13">
        <f>IF(G13="","",IF(G13&lt;=Assumptions!$B$9,Assumptions!$C$9,IF(G13&lt;=Assumptions!$B$10,Assumptions!$C$10,IF(G13&lt;=Assumptions!$B$11,Assumptions!$C$11,Assumptions!$C$12))))</f>
        <v/>
      </c>
      <c r="X13" s="13">
        <f>IF(F13="Branded",Assumptions!$B$5,IF(OR(F13="Packaging",F13="Bags"),Assumptions!$B$4,1))</f>
        <v/>
      </c>
      <c r="Y13" s="14">
        <f>IFERROR(VLOOKUP(F13,Assumptions!$A$16:$C$20,2,FALSE),0.40)</f>
        <v/>
      </c>
      <c r="Z13" s="14">
        <f>IFERROR(VLOOKUP(F13,Assumptions!$A$16:$C$20,3,FALSE),0.30)</f>
        <v/>
      </c>
      <c r="AA13" s="12">
        <f>IF(P13&lt;&gt;"",P13*X13*W13,IF(L13&lt;&gt;"",L13/(1-Y13),K13))</f>
        <v/>
      </c>
      <c r="AB13" s="12">
        <f>IF(L13&lt;&gt;"",L13/(1-Z13),"")</f>
        <v/>
      </c>
      <c r="AC13" s="12">
        <f>IF(AB13="",AA13,MAX(AA13,AB13))</f>
        <v/>
      </c>
      <c r="AD13" s="10">
        <f>IF(AC13="","",AC13*G13)</f>
        <v/>
      </c>
      <c r="AE13" s="10">
        <f>IF(AD13="","",ROUNDUP(AD13,0)-0.01)</f>
        <v/>
      </c>
      <c r="AF13" s="9">
        <f>IF(P13&lt;&gt;"","Competitor-based",IF(L13&lt;&gt;"","Cost+margin","Needs review"))</f>
        <v/>
      </c>
    </row>
    <row r="14" ht="46" customHeight="1">
      <c r="A14" s="13" t="inlineStr">
        <is>
          <t>7ml-screw-top-jars-with-black-lids</t>
        </is>
      </c>
      <c r="B14" s="9" t="inlineStr">
        <is>
          <t>7ml Glass Jars- Low Profile heavy bottom- Screw Top with Lids</t>
        </is>
      </c>
      <c r="C14" s="9" t="inlineStr">
        <is>
          <t>The 7ml Low Profile Heavy Bottom Glass Jar is a lab-grade concentrate container built for extractors, processors, and brands who need packaging that performs on the bench and looks right on the shelf. At 7ml (0.24 fl oz)…</t>
        </is>
      </c>
      <c r="D14" s="9" t="inlineStr">
        <is>
          <t>Quantity: 2700 / Lid Color: Black / Glass: Clear</t>
        </is>
      </c>
      <c r="E14" s="13" t="inlineStr">
        <is>
          <t>7MLJAR-09B</t>
        </is>
      </c>
      <c r="F14" s="13" t="inlineStr">
        <is>
          <t>Packaging</t>
        </is>
      </c>
      <c r="G14" s="11" t="n">
        <v>2700</v>
      </c>
      <c r="H14" s="13" t="inlineStr">
        <is>
          <t>pcs</t>
        </is>
      </c>
      <c r="I14" s="10" t="n">
        <v>49.99</v>
      </c>
      <c r="J14" s="10" t="inlineStr"/>
      <c r="K14" s="12">
        <f>IFERROR(I14/G14,"")</f>
        <v/>
      </c>
      <c r="L14" s="12">
        <f>IFERROR(J14/G14,"")</f>
        <v/>
      </c>
      <c r="M14" s="14">
        <f>IFERROR((I14-J14)/I14,"")</f>
        <v/>
      </c>
      <c r="N14" s="10" t="n">
        <v>43</v>
      </c>
      <c r="O14" s="11" t="n">
        <v>90</v>
      </c>
      <c r="P14" s="12">
        <f>IFERROR(N14/O14,"")</f>
        <v/>
      </c>
      <c r="Q14" s="10" t="inlineStr"/>
      <c r="R14" s="11" t="inlineStr"/>
      <c r="S14" s="12">
        <f>IFERROR(Q14/R14,"")</f>
        <v/>
      </c>
      <c r="T14" s="13" t="inlineStr">
        <is>
          <t>Observed</t>
        </is>
      </c>
      <c r="U14" s="9" t="inlineStr">
        <is>
          <t>https://sodoloco.com/products/low-profile-7ml-glass-jars-child-resistant-black-lid-90</t>
        </is>
      </c>
      <c r="V14" s="9" t="inlineStr">
        <is>
          <t>Low profile 7ml glass jar with black lid; 90 pack listed at $43.</t>
        </is>
      </c>
      <c r="W14" s="13">
        <f>IF(G14="","",IF(G14&lt;=Assumptions!$B$9,Assumptions!$C$9,IF(G14&lt;=Assumptions!$B$10,Assumptions!$C$10,IF(G14&lt;=Assumptions!$B$11,Assumptions!$C$11,Assumptions!$C$12))))</f>
        <v/>
      </c>
      <c r="X14" s="13">
        <f>IF(F14="Branded",Assumptions!$B$5,IF(OR(F14="Packaging",F14="Bags"),Assumptions!$B$4,1))</f>
        <v/>
      </c>
      <c r="Y14" s="14">
        <f>IFERROR(VLOOKUP(F14,Assumptions!$A$16:$C$20,2,FALSE),0.40)</f>
        <v/>
      </c>
      <c r="Z14" s="14">
        <f>IFERROR(VLOOKUP(F14,Assumptions!$A$16:$C$20,3,FALSE),0.30)</f>
        <v/>
      </c>
      <c r="AA14" s="12">
        <f>IF(P14&lt;&gt;"",P14*X14*W14,IF(L14&lt;&gt;"",L14/(1-Y14),K14))</f>
        <v/>
      </c>
      <c r="AB14" s="12">
        <f>IF(L14&lt;&gt;"",L14/(1-Z14),"")</f>
        <v/>
      </c>
      <c r="AC14" s="12">
        <f>IF(AB14="",AA14,MAX(AA14,AB14))</f>
        <v/>
      </c>
      <c r="AD14" s="10">
        <f>IF(AC14="","",AC14*G14)</f>
        <v/>
      </c>
      <c r="AE14" s="10">
        <f>IF(AD14="","",ROUNDUP(AD14,0)-0.01)</f>
        <v/>
      </c>
      <c r="AF14" s="9">
        <f>IF(P14&lt;&gt;"","Competitor-based",IF(L14&lt;&gt;"","Cost+margin","Needs review"))</f>
        <v/>
      </c>
    </row>
    <row r="15" ht="46" customHeight="1">
      <c r="A15" s="13" t="inlineStr">
        <is>
          <t>7ml-screw-top-jars-with-black-lids</t>
        </is>
      </c>
      <c r="B15" s="9" t="inlineStr">
        <is>
          <t>7ml Glass Jars- Low Profile heavy bottom- Screw Top with Lids</t>
        </is>
      </c>
      <c r="C15" s="9" t="inlineStr">
        <is>
          <t>The 7ml Low Profile Heavy Bottom Glass Jar is a lab-grade concentrate container built for extractors, processors, and brands who need packaging that performs on the bench and looks right on the shelf. At 7ml (0.24 fl oz)…</t>
        </is>
      </c>
      <c r="D15" s="9" t="inlineStr">
        <is>
          <t>Quantity: 2700 / Lid Color: Black / Glass: Frosted</t>
        </is>
      </c>
      <c r="E15" s="13" t="inlineStr">
        <is>
          <t>7MLJAR-09BF</t>
        </is>
      </c>
      <c r="F15" s="13" t="inlineStr">
        <is>
          <t>Packaging</t>
        </is>
      </c>
      <c r="G15" s="11" t="n">
        <v>2700</v>
      </c>
      <c r="H15" s="13" t="inlineStr">
        <is>
          <t>pcs</t>
        </is>
      </c>
      <c r="I15" s="10" t="n">
        <v>44.99</v>
      </c>
      <c r="J15" s="10" t="inlineStr"/>
      <c r="K15" s="12">
        <f>IFERROR(I15/G15,"")</f>
        <v/>
      </c>
      <c r="L15" s="12">
        <f>IFERROR(J15/G15,"")</f>
        <v/>
      </c>
      <c r="M15" s="14">
        <f>IFERROR((I15-J15)/I15,"")</f>
        <v/>
      </c>
      <c r="N15" s="10" t="n">
        <v>43</v>
      </c>
      <c r="O15" s="11" t="n">
        <v>90</v>
      </c>
      <c r="P15" s="12">
        <f>IFERROR(N15/O15,"")</f>
        <v/>
      </c>
      <c r="Q15" s="10" t="inlineStr"/>
      <c r="R15" s="11" t="inlineStr"/>
      <c r="S15" s="12">
        <f>IFERROR(Q15/R15,"")</f>
        <v/>
      </c>
      <c r="T15" s="13" t="inlineStr">
        <is>
          <t>Observed</t>
        </is>
      </c>
      <c r="U15" s="9" t="inlineStr">
        <is>
          <t>https://sodoloco.com/products/low-profile-7ml-glass-jars-child-resistant-black-lid-90</t>
        </is>
      </c>
      <c r="V15" s="9" t="inlineStr">
        <is>
          <t>Low profile 7ml glass jar with black lid; 90 pack listed at $43.</t>
        </is>
      </c>
      <c r="W15" s="13">
        <f>IF(G15="","",IF(G15&lt;=Assumptions!$B$9,Assumptions!$C$9,IF(G15&lt;=Assumptions!$B$10,Assumptions!$C$10,IF(G15&lt;=Assumptions!$B$11,Assumptions!$C$11,Assumptions!$C$12))))</f>
        <v/>
      </c>
      <c r="X15" s="13">
        <f>IF(F15="Branded",Assumptions!$B$5,IF(OR(F15="Packaging",F15="Bags"),Assumptions!$B$4,1))</f>
        <v/>
      </c>
      <c r="Y15" s="14">
        <f>IFERROR(VLOOKUP(F15,Assumptions!$A$16:$C$20,2,FALSE),0.40)</f>
        <v/>
      </c>
      <c r="Z15" s="14">
        <f>IFERROR(VLOOKUP(F15,Assumptions!$A$16:$C$20,3,FALSE),0.30)</f>
        <v/>
      </c>
      <c r="AA15" s="12">
        <f>IF(P15&lt;&gt;"",P15*X15*W15,IF(L15&lt;&gt;"",L15/(1-Y15),K15))</f>
        <v/>
      </c>
      <c r="AB15" s="12">
        <f>IF(L15&lt;&gt;"",L15/(1-Z15),"")</f>
        <v/>
      </c>
      <c r="AC15" s="12">
        <f>IF(AB15="",AA15,MAX(AA15,AB15))</f>
        <v/>
      </c>
      <c r="AD15" s="10">
        <f>IF(AC15="","",AC15*G15)</f>
        <v/>
      </c>
      <c r="AE15" s="10">
        <f>IF(AD15="","",ROUNDUP(AD15,0)-0.01)</f>
        <v/>
      </c>
      <c r="AF15" s="9">
        <f>IF(P15&lt;&gt;"","Competitor-based",IF(L15&lt;&gt;"","Cost+margin","Needs review"))</f>
        <v/>
      </c>
    </row>
    <row r="16" ht="46" customHeight="1">
      <c r="A16" s="13" t="inlineStr">
        <is>
          <t>7ml-screw-top-jars-with-black-lids</t>
        </is>
      </c>
      <c r="B16" s="9" t="inlineStr">
        <is>
          <t>7ml Glass Jars- Low Profile heavy bottom- Screw Top with Lids</t>
        </is>
      </c>
      <c r="C16" s="9" t="inlineStr">
        <is>
          <t>The 7ml Low Profile Heavy Bottom Glass Jar is a lab-grade concentrate container built for extractors, processors, and brands who need packaging that performs on the bench and looks right on the shelf. At 7ml (0.24 fl oz)…</t>
        </is>
      </c>
      <c r="D16" s="9" t="inlineStr">
        <is>
          <t>Quantity: 4500 / Lid Color: Black / Glass: Clear</t>
        </is>
      </c>
      <c r="E16" s="13" t="inlineStr">
        <is>
          <t>7MLJAR-05B</t>
        </is>
      </c>
      <c r="F16" s="13" t="inlineStr">
        <is>
          <t>Packaging</t>
        </is>
      </c>
      <c r="G16" s="11" t="n">
        <v>4500</v>
      </c>
      <c r="H16" s="13" t="inlineStr">
        <is>
          <t>pcs</t>
        </is>
      </c>
      <c r="I16" s="10" t="n">
        <v>65</v>
      </c>
      <c r="J16" s="10" t="inlineStr"/>
      <c r="K16" s="12">
        <f>IFERROR(I16/G16,"")</f>
        <v/>
      </c>
      <c r="L16" s="12">
        <f>IFERROR(J16/G16,"")</f>
        <v/>
      </c>
      <c r="M16" s="14">
        <f>IFERROR((I16-J16)/I16,"")</f>
        <v/>
      </c>
      <c r="N16" s="10" t="n">
        <v>43</v>
      </c>
      <c r="O16" s="11" t="n">
        <v>90</v>
      </c>
      <c r="P16" s="12">
        <f>IFERROR(N16/O16,"")</f>
        <v/>
      </c>
      <c r="Q16" s="10" t="inlineStr"/>
      <c r="R16" s="11" t="inlineStr"/>
      <c r="S16" s="12">
        <f>IFERROR(Q16/R16,"")</f>
        <v/>
      </c>
      <c r="T16" s="13" t="inlineStr">
        <is>
          <t>Observed</t>
        </is>
      </c>
      <c r="U16" s="9" t="inlineStr">
        <is>
          <t>https://sodoloco.com/products/low-profile-7ml-glass-jars-child-resistant-black-lid-90</t>
        </is>
      </c>
      <c r="V16" s="9" t="inlineStr">
        <is>
          <t>Low profile 7ml glass jar with black lid; 90 pack listed at $43.</t>
        </is>
      </c>
      <c r="W16" s="13">
        <f>IF(G16="","",IF(G16&lt;=Assumptions!$B$9,Assumptions!$C$9,IF(G16&lt;=Assumptions!$B$10,Assumptions!$C$10,IF(G16&lt;=Assumptions!$B$11,Assumptions!$C$11,Assumptions!$C$12))))</f>
        <v/>
      </c>
      <c r="X16" s="13">
        <f>IF(F16="Branded",Assumptions!$B$5,IF(OR(F16="Packaging",F16="Bags"),Assumptions!$B$4,1))</f>
        <v/>
      </c>
      <c r="Y16" s="14">
        <f>IFERROR(VLOOKUP(F16,Assumptions!$A$16:$C$20,2,FALSE),0.40)</f>
        <v/>
      </c>
      <c r="Z16" s="14">
        <f>IFERROR(VLOOKUP(F16,Assumptions!$A$16:$C$20,3,FALSE),0.30)</f>
        <v/>
      </c>
      <c r="AA16" s="12">
        <f>IF(P16&lt;&gt;"",P16*X16*W16,IF(L16&lt;&gt;"",L16/(1-Y16),K16))</f>
        <v/>
      </c>
      <c r="AB16" s="12">
        <f>IF(L16&lt;&gt;"",L16/(1-Z16),"")</f>
        <v/>
      </c>
      <c r="AC16" s="12">
        <f>IF(AB16="",AA16,MAX(AA16,AB16))</f>
        <v/>
      </c>
      <c r="AD16" s="10">
        <f>IF(AC16="","",AC16*G16)</f>
        <v/>
      </c>
      <c r="AE16" s="10">
        <f>IF(AD16="","",ROUNDUP(AD16,0)-0.01)</f>
        <v/>
      </c>
      <c r="AF16" s="9">
        <f>IF(P16&lt;&gt;"","Competitor-based",IF(L16&lt;&gt;"","Cost+margin","Needs review"))</f>
        <v/>
      </c>
    </row>
    <row r="17" ht="46" customHeight="1">
      <c r="A17" s="13" t="inlineStr">
        <is>
          <t>7ml-screw-top-jars-with-black-lids</t>
        </is>
      </c>
      <c r="B17" s="9" t="inlineStr">
        <is>
          <t>7ml Glass Jars- Low Profile heavy bottom- Screw Top with Lids</t>
        </is>
      </c>
      <c r="C17" s="9" t="inlineStr">
        <is>
          <t>The 7ml Low Profile Heavy Bottom Glass Jar is a lab-grade concentrate container built for extractors, processors, and brands who need packaging that performs on the bench and looks right on the shelf. At 7ml (0.24 fl oz)…</t>
        </is>
      </c>
      <c r="D17" s="9" t="inlineStr">
        <is>
          <t>Quantity: 4500 / Lid Color: Black / Glass: Frosted</t>
        </is>
      </c>
      <c r="E17" s="13" t="inlineStr">
        <is>
          <t>7MLJAR-05BF</t>
        </is>
      </c>
      <c r="F17" s="13" t="inlineStr">
        <is>
          <t>Packaging</t>
        </is>
      </c>
      <c r="G17" s="11" t="n">
        <v>4500</v>
      </c>
      <c r="H17" s="13" t="inlineStr">
        <is>
          <t>pcs</t>
        </is>
      </c>
      <c r="I17" s="10" t="n">
        <v>49.99</v>
      </c>
      <c r="J17" s="10" t="inlineStr"/>
      <c r="K17" s="12">
        <f>IFERROR(I17/G17,"")</f>
        <v/>
      </c>
      <c r="L17" s="12">
        <f>IFERROR(J17/G17,"")</f>
        <v/>
      </c>
      <c r="M17" s="14">
        <f>IFERROR((I17-J17)/I17,"")</f>
        <v/>
      </c>
      <c r="N17" s="10" t="n">
        <v>43</v>
      </c>
      <c r="O17" s="11" t="n">
        <v>90</v>
      </c>
      <c r="P17" s="12">
        <f>IFERROR(N17/O17,"")</f>
        <v/>
      </c>
      <c r="Q17" s="10" t="inlineStr"/>
      <c r="R17" s="11" t="inlineStr"/>
      <c r="S17" s="12">
        <f>IFERROR(Q17/R17,"")</f>
        <v/>
      </c>
      <c r="T17" s="13" t="inlineStr">
        <is>
          <t>Observed</t>
        </is>
      </c>
      <c r="U17" s="9" t="inlineStr">
        <is>
          <t>https://sodoloco.com/products/low-profile-7ml-glass-jars-child-resistant-black-lid-90</t>
        </is>
      </c>
      <c r="V17" s="9" t="inlineStr">
        <is>
          <t>Low profile 7ml glass jar with black lid; 90 pack listed at $43.</t>
        </is>
      </c>
      <c r="W17" s="13">
        <f>IF(G17="","",IF(G17&lt;=Assumptions!$B$9,Assumptions!$C$9,IF(G17&lt;=Assumptions!$B$10,Assumptions!$C$10,IF(G17&lt;=Assumptions!$B$11,Assumptions!$C$11,Assumptions!$C$12))))</f>
        <v/>
      </c>
      <c r="X17" s="13">
        <f>IF(F17="Branded",Assumptions!$B$5,IF(OR(F17="Packaging",F17="Bags"),Assumptions!$B$4,1))</f>
        <v/>
      </c>
      <c r="Y17" s="14">
        <f>IFERROR(VLOOKUP(F17,Assumptions!$A$16:$C$20,2,FALSE),0.40)</f>
        <v/>
      </c>
      <c r="Z17" s="14">
        <f>IFERROR(VLOOKUP(F17,Assumptions!$A$16:$C$20,3,FALSE),0.30)</f>
        <v/>
      </c>
      <c r="AA17" s="12">
        <f>IF(P17&lt;&gt;"",P17*X17*W17,IF(L17&lt;&gt;"",L17/(1-Y17),K17))</f>
        <v/>
      </c>
      <c r="AB17" s="12">
        <f>IF(L17&lt;&gt;"",L17/(1-Z17),"")</f>
        <v/>
      </c>
      <c r="AC17" s="12">
        <f>IF(AB17="",AA17,MAX(AA17,AB17))</f>
        <v/>
      </c>
      <c r="AD17" s="10">
        <f>IF(AC17="","",AC17*G17)</f>
        <v/>
      </c>
      <c r="AE17" s="10">
        <f>IF(AD17="","",ROUNDUP(AD17,0)-0.01)</f>
        <v/>
      </c>
      <c r="AF17" s="9">
        <f>IF(P17&lt;&gt;"","Competitor-based",IF(L17&lt;&gt;"","Cost+margin","Needs review"))</f>
        <v/>
      </c>
    </row>
    <row r="18" ht="46" customHeight="1">
      <c r="A18" s="13" t="inlineStr">
        <is>
          <t>7ml-screw-top-jars-with-black-lids</t>
        </is>
      </c>
      <c r="B18" s="9" t="inlineStr">
        <is>
          <t>7ml Glass Jars- Low Profile heavy bottom- Screw Top with Lids</t>
        </is>
      </c>
      <c r="C18" s="9" t="inlineStr">
        <is>
          <t>The 7ml Low Profile Heavy Bottom Glass Jar is a lab-grade concentrate container built for extractors, processors, and brands who need packaging that performs on the bench and looks right on the shelf. At 7ml (0.24 fl oz)…</t>
        </is>
      </c>
      <c r="D18" s="9" t="inlineStr">
        <is>
          <t>Quantity: 9900 / Lid Color: Black / Glass: Clear</t>
        </is>
      </c>
      <c r="E18" s="13" t="inlineStr">
        <is>
          <t>7MLJAR-06B</t>
        </is>
      </c>
      <c r="F18" s="13" t="inlineStr">
        <is>
          <t>Packaging</t>
        </is>
      </c>
      <c r="G18" s="11" t="n">
        <v>9900</v>
      </c>
      <c r="H18" s="13" t="inlineStr">
        <is>
          <t>pcs</t>
        </is>
      </c>
      <c r="I18" s="10" t="n">
        <v>14.99</v>
      </c>
      <c r="J18" s="10" t="inlineStr"/>
      <c r="K18" s="12">
        <f>IFERROR(I18/G18,"")</f>
        <v/>
      </c>
      <c r="L18" s="12">
        <f>IFERROR(J18/G18,"")</f>
        <v/>
      </c>
      <c r="M18" s="14">
        <f>IFERROR((I18-J18)/I18,"")</f>
        <v/>
      </c>
      <c r="N18" s="10" t="n">
        <v>43</v>
      </c>
      <c r="O18" s="11" t="n">
        <v>90</v>
      </c>
      <c r="P18" s="12">
        <f>IFERROR(N18/O18,"")</f>
        <v/>
      </c>
      <c r="Q18" s="10" t="inlineStr"/>
      <c r="R18" s="11" t="inlineStr"/>
      <c r="S18" s="12">
        <f>IFERROR(Q18/R18,"")</f>
        <v/>
      </c>
      <c r="T18" s="13" t="inlineStr">
        <is>
          <t>Observed</t>
        </is>
      </c>
      <c r="U18" s="9" t="inlineStr">
        <is>
          <t>https://sodoloco.com/products/low-profile-7ml-glass-jars-child-resistant-black-lid-90</t>
        </is>
      </c>
      <c r="V18" s="9" t="inlineStr">
        <is>
          <t>Low profile 7ml glass jar with black lid; 90 pack listed at $43.</t>
        </is>
      </c>
      <c r="W18" s="13">
        <f>IF(G18="","",IF(G18&lt;=Assumptions!$B$9,Assumptions!$C$9,IF(G18&lt;=Assumptions!$B$10,Assumptions!$C$10,IF(G18&lt;=Assumptions!$B$11,Assumptions!$C$11,Assumptions!$C$12))))</f>
        <v/>
      </c>
      <c r="X18" s="13">
        <f>IF(F18="Branded",Assumptions!$B$5,IF(OR(F18="Packaging",F18="Bags"),Assumptions!$B$4,1))</f>
        <v/>
      </c>
      <c r="Y18" s="14">
        <f>IFERROR(VLOOKUP(F18,Assumptions!$A$16:$C$20,2,FALSE),0.40)</f>
        <v/>
      </c>
      <c r="Z18" s="14">
        <f>IFERROR(VLOOKUP(F18,Assumptions!$A$16:$C$20,3,FALSE),0.30)</f>
        <v/>
      </c>
      <c r="AA18" s="12">
        <f>IF(P18&lt;&gt;"",P18*X18*W18,IF(L18&lt;&gt;"",L18/(1-Y18),K18))</f>
        <v/>
      </c>
      <c r="AB18" s="12">
        <f>IF(L18&lt;&gt;"",L18/(1-Z18),"")</f>
        <v/>
      </c>
      <c r="AC18" s="12">
        <f>IF(AB18="",AA18,MAX(AA18,AB18))</f>
        <v/>
      </c>
      <c r="AD18" s="10">
        <f>IF(AC18="","",AC18*G18)</f>
        <v/>
      </c>
      <c r="AE18" s="10">
        <f>IF(AD18="","",ROUNDUP(AD18,0)-0.01)</f>
        <v/>
      </c>
      <c r="AF18" s="9">
        <f>IF(P18&lt;&gt;"","Competitor-based",IF(L18&lt;&gt;"","Cost+margin","Needs review"))</f>
        <v/>
      </c>
    </row>
    <row r="19" ht="46" customHeight="1">
      <c r="A19" s="13" t="inlineStr">
        <is>
          <t>7ml-screw-top-jars-with-black-lids</t>
        </is>
      </c>
      <c r="B19" s="9" t="inlineStr">
        <is>
          <t>7ml Glass Jars- Low Profile heavy bottom- Screw Top with Lids</t>
        </is>
      </c>
      <c r="C19" s="9" t="inlineStr">
        <is>
          <t>The 7ml Low Profile Heavy Bottom Glass Jar is a lab-grade concentrate container built for extractors, processors, and brands who need packaging that performs on the bench and looks right on the shelf. At 7ml (0.24 fl oz)…</t>
        </is>
      </c>
      <c r="D19" s="9" t="inlineStr">
        <is>
          <t>Quantity: 9900 / Lid Color: Black / Glass: Frosted</t>
        </is>
      </c>
      <c r="E19" s="13" t="inlineStr">
        <is>
          <t>7MLJAR-06BF</t>
        </is>
      </c>
      <c r="F19" s="13" t="inlineStr">
        <is>
          <t>Packaging</t>
        </is>
      </c>
      <c r="G19" s="11" t="n">
        <v>9900</v>
      </c>
      <c r="H19" s="13" t="inlineStr">
        <is>
          <t>pcs</t>
        </is>
      </c>
      <c r="I19" s="10" t="n">
        <v>79.98999999999999</v>
      </c>
      <c r="J19" s="10" t="inlineStr"/>
      <c r="K19" s="12">
        <f>IFERROR(I19/G19,"")</f>
        <v/>
      </c>
      <c r="L19" s="12">
        <f>IFERROR(J19/G19,"")</f>
        <v/>
      </c>
      <c r="M19" s="14">
        <f>IFERROR((I19-J19)/I19,"")</f>
        <v/>
      </c>
      <c r="N19" s="10" t="n">
        <v>43</v>
      </c>
      <c r="O19" s="11" t="n">
        <v>90</v>
      </c>
      <c r="P19" s="12">
        <f>IFERROR(N19/O19,"")</f>
        <v/>
      </c>
      <c r="Q19" s="10" t="inlineStr"/>
      <c r="R19" s="11" t="inlineStr"/>
      <c r="S19" s="12">
        <f>IFERROR(Q19/R19,"")</f>
        <v/>
      </c>
      <c r="T19" s="13" t="inlineStr">
        <is>
          <t>Observed</t>
        </is>
      </c>
      <c r="U19" s="9" t="inlineStr">
        <is>
          <t>https://sodoloco.com/products/low-profile-7ml-glass-jars-child-resistant-black-lid-90</t>
        </is>
      </c>
      <c r="V19" s="9" t="inlineStr">
        <is>
          <t>Low profile 7ml glass jar with black lid; 90 pack listed at $43.</t>
        </is>
      </c>
      <c r="W19" s="13">
        <f>IF(G19="","",IF(G19&lt;=Assumptions!$B$9,Assumptions!$C$9,IF(G19&lt;=Assumptions!$B$10,Assumptions!$C$10,IF(G19&lt;=Assumptions!$B$11,Assumptions!$C$11,Assumptions!$C$12))))</f>
        <v/>
      </c>
      <c r="X19" s="13">
        <f>IF(F19="Branded",Assumptions!$B$5,IF(OR(F19="Packaging",F19="Bags"),Assumptions!$B$4,1))</f>
        <v/>
      </c>
      <c r="Y19" s="14">
        <f>IFERROR(VLOOKUP(F19,Assumptions!$A$16:$C$20,2,FALSE),0.40)</f>
        <v/>
      </c>
      <c r="Z19" s="14">
        <f>IFERROR(VLOOKUP(F19,Assumptions!$A$16:$C$20,3,FALSE),0.30)</f>
        <v/>
      </c>
      <c r="AA19" s="12">
        <f>IF(P19&lt;&gt;"",P19*X19*W19,IF(L19&lt;&gt;"",L19/(1-Y19),K19))</f>
        <v/>
      </c>
      <c r="AB19" s="12">
        <f>IF(L19&lt;&gt;"",L19/(1-Z19),"")</f>
        <v/>
      </c>
      <c r="AC19" s="12">
        <f>IF(AB19="",AA19,MAX(AA19,AB19))</f>
        <v/>
      </c>
      <c r="AD19" s="10">
        <f>IF(AC19="","",AC19*G19)</f>
        <v/>
      </c>
      <c r="AE19" s="10">
        <f>IF(AD19="","",ROUNDUP(AD19,0)-0.01)</f>
        <v/>
      </c>
      <c r="AF19" s="9">
        <f>IF(P19&lt;&gt;"","Competitor-based",IF(L19&lt;&gt;"","Cost+margin","Needs review"))</f>
        <v/>
      </c>
    </row>
    <row r="20" ht="46" customHeight="1">
      <c r="A20" s="13" t="inlineStr">
        <is>
          <t>blank-boxes-for-7ml-jars</t>
        </is>
      </c>
      <c r="B20" s="9" t="inlineStr">
        <is>
          <t>Blank Boxes for Jars</t>
        </is>
      </c>
      <c r="C20" s="9" t="inlineStr">
        <is>
          <t>Oil Slick Blank Boxes for Jars are clean, retail-ready outer boxes for your concentrate jars, built for brands and extractors who want pro packaging without being locked into pre-printed designs. Sized to fit 5ml, 6ml, 7…</t>
        </is>
      </c>
      <c r="D20" s="9" t="inlineStr">
        <is>
          <t>Size: 7ml / Quantity: 50 / Color: Black</t>
        </is>
      </c>
      <c r="E20" s="13" t="inlineStr"/>
      <c r="F20" s="13" t="inlineStr">
        <is>
          <t>Packaging</t>
        </is>
      </c>
      <c r="G20" s="11" t="n">
        <v>50</v>
      </c>
      <c r="H20" s="13" t="inlineStr">
        <is>
          <t>pcs</t>
        </is>
      </c>
      <c r="I20" s="10" t="n">
        <v>29.99</v>
      </c>
      <c r="J20" s="10" t="inlineStr"/>
      <c r="K20" s="12">
        <f>IFERROR(I20/G20,"")</f>
        <v/>
      </c>
      <c r="L20" s="12">
        <f>IFERROR(J20/G20,"")</f>
        <v/>
      </c>
      <c r="M20" s="14">
        <f>IFERROR((I20-J20)/I20,"")</f>
        <v/>
      </c>
      <c r="N20" s="10" t="inlineStr"/>
      <c r="O20" s="11" t="inlineStr"/>
      <c r="P20" s="12">
        <f>IFERROR(N20/O20,"")</f>
        <v/>
      </c>
      <c r="Q20" s="10" t="inlineStr"/>
      <c r="R20" s="11" t="inlineStr"/>
      <c r="S20" s="12">
        <f>IFERROR(Q20/R20,"")</f>
        <v/>
      </c>
      <c r="T20" s="13" t="inlineStr"/>
      <c r="U20" s="9" t="inlineStr"/>
      <c r="V20" s="9" t="inlineStr"/>
      <c r="W20" s="13">
        <f>IF(G20="","",IF(G20&lt;=Assumptions!$B$9,Assumptions!$C$9,IF(G20&lt;=Assumptions!$B$10,Assumptions!$C$10,IF(G20&lt;=Assumptions!$B$11,Assumptions!$C$11,Assumptions!$C$12))))</f>
        <v/>
      </c>
      <c r="X20" s="13">
        <f>IF(F20="Branded",Assumptions!$B$5,IF(OR(F20="Packaging",F20="Bags"),Assumptions!$B$4,1))</f>
        <v/>
      </c>
      <c r="Y20" s="14">
        <f>IFERROR(VLOOKUP(F20,Assumptions!$A$16:$C$20,2,FALSE),0.40)</f>
        <v/>
      </c>
      <c r="Z20" s="14">
        <f>IFERROR(VLOOKUP(F20,Assumptions!$A$16:$C$20,3,FALSE),0.30)</f>
        <v/>
      </c>
      <c r="AA20" s="12">
        <f>IF(P20&lt;&gt;"",P20*X20*W20,IF(L20&lt;&gt;"",L20/(1-Y20),K20))</f>
        <v/>
      </c>
      <c r="AB20" s="12">
        <f>IF(L20&lt;&gt;"",L20/(1-Z20),"")</f>
        <v/>
      </c>
      <c r="AC20" s="12">
        <f>IF(AB20="",AA20,MAX(AA20,AB20))</f>
        <v/>
      </c>
      <c r="AD20" s="10">
        <f>IF(AC20="","",AC20*G20)</f>
        <v/>
      </c>
      <c r="AE20" s="10">
        <f>IF(AD20="","",ROUNDUP(AD20,0)-0.01)</f>
        <v/>
      </c>
      <c r="AF20" s="9">
        <f>IF(P20&lt;&gt;"","Competitor-based",IF(L20&lt;&gt;"","Cost+margin","Needs review"))</f>
        <v/>
      </c>
    </row>
    <row r="21" ht="46" customHeight="1">
      <c r="A21" s="13" t="inlineStr">
        <is>
          <t>blank-boxes-for-7ml-jars</t>
        </is>
      </c>
      <c r="B21" s="9" t="inlineStr">
        <is>
          <t>Blank Boxes for Jars</t>
        </is>
      </c>
      <c r="C21" s="9" t="inlineStr">
        <is>
          <t>Oil Slick Blank Boxes for Jars are clean, retail-ready outer boxes for your concentrate jars, built for brands and extractors who want pro packaging without being locked into pre-printed designs. Sized to fit 5ml, 6ml, 7…</t>
        </is>
      </c>
      <c r="D21" s="9" t="inlineStr">
        <is>
          <t>Size: 7ml / Quantity: 500 / Color: Black</t>
        </is>
      </c>
      <c r="E21" s="13" t="inlineStr">
        <is>
          <t>BOX FOR JAR 7ML 500</t>
        </is>
      </c>
      <c r="F21" s="13" t="inlineStr">
        <is>
          <t>Packaging</t>
        </is>
      </c>
      <c r="G21" s="11" t="n">
        <v>500</v>
      </c>
      <c r="H21" s="13" t="inlineStr">
        <is>
          <t>pcs</t>
        </is>
      </c>
      <c r="I21" s="10" t="n">
        <v>75</v>
      </c>
      <c r="J21" s="10" t="n">
        <v>258</v>
      </c>
      <c r="K21" s="12">
        <f>IFERROR(I21/G21,"")</f>
        <v/>
      </c>
      <c r="L21" s="12">
        <f>IFERROR(J21/G21,"")</f>
        <v/>
      </c>
      <c r="M21" s="14">
        <f>IFERROR((I21-J21)/I21,"")</f>
        <v/>
      </c>
      <c r="N21" s="10" t="inlineStr"/>
      <c r="O21" s="11" t="inlineStr"/>
      <c r="P21" s="12">
        <f>IFERROR(N21/O21,"")</f>
        <v/>
      </c>
      <c r="Q21" s="10" t="inlineStr"/>
      <c r="R21" s="11" t="inlineStr"/>
      <c r="S21" s="12">
        <f>IFERROR(Q21/R21,"")</f>
        <v/>
      </c>
      <c r="T21" s="13" t="inlineStr"/>
      <c r="U21" s="9" t="inlineStr"/>
      <c r="V21" s="9" t="inlineStr"/>
      <c r="W21" s="13">
        <f>IF(G21="","",IF(G21&lt;=Assumptions!$B$9,Assumptions!$C$9,IF(G21&lt;=Assumptions!$B$10,Assumptions!$C$10,IF(G21&lt;=Assumptions!$B$11,Assumptions!$C$11,Assumptions!$C$12))))</f>
        <v/>
      </c>
      <c r="X21" s="13">
        <f>IF(F21="Branded",Assumptions!$B$5,IF(OR(F21="Packaging",F21="Bags"),Assumptions!$B$4,1))</f>
        <v/>
      </c>
      <c r="Y21" s="14">
        <f>IFERROR(VLOOKUP(F21,Assumptions!$A$16:$C$20,2,FALSE),0.40)</f>
        <v/>
      </c>
      <c r="Z21" s="14">
        <f>IFERROR(VLOOKUP(F21,Assumptions!$A$16:$C$20,3,FALSE),0.30)</f>
        <v/>
      </c>
      <c r="AA21" s="12">
        <f>IF(P21&lt;&gt;"",P21*X21*W21,IF(L21&lt;&gt;"",L21/(1-Y21),K21))</f>
        <v/>
      </c>
      <c r="AB21" s="12">
        <f>IF(L21&lt;&gt;"",L21/(1-Z21),"")</f>
        <v/>
      </c>
      <c r="AC21" s="12">
        <f>IF(AB21="",AA21,MAX(AA21,AB21))</f>
        <v/>
      </c>
      <c r="AD21" s="10">
        <f>IF(AC21="","",AC21*G21)</f>
        <v/>
      </c>
      <c r="AE21" s="10">
        <f>IF(AD21="","",ROUNDUP(AD21,0)-0.01)</f>
        <v/>
      </c>
      <c r="AF21" s="9">
        <f>IF(P21&lt;&gt;"","Competitor-based",IF(L21&lt;&gt;"","Cost+margin","Needs review"))</f>
        <v/>
      </c>
    </row>
    <row r="22" ht="46" customHeight="1">
      <c r="A22" s="13" t="inlineStr">
        <is>
          <t>blank-boxes-for-7ml-jars</t>
        </is>
      </c>
      <c r="B22" s="9" t="inlineStr">
        <is>
          <t>Blank Boxes for Jars</t>
        </is>
      </c>
      <c r="C22" s="9" t="inlineStr">
        <is>
          <t>Oil Slick Blank Boxes for Jars are clean, retail-ready outer boxes for your concentrate jars, built for brands and extractors who want pro packaging without being locked into pre-printed designs. Sized to fit 5ml, 6ml, 7…</t>
        </is>
      </c>
      <c r="D22" s="9" t="inlineStr">
        <is>
          <t>Size: 5ml / Quantity: 1000 / Color: Black</t>
        </is>
      </c>
      <c r="E22" s="13" t="inlineStr">
        <is>
          <t>BOX FOR JAR 5ml 1000</t>
        </is>
      </c>
      <c r="F22" s="13" t="inlineStr">
        <is>
          <t>Packaging</t>
        </is>
      </c>
      <c r="G22" s="11" t="n">
        <v>1000</v>
      </c>
      <c r="H22" s="13" t="inlineStr">
        <is>
          <t>pcs</t>
        </is>
      </c>
      <c r="I22" s="10" t="n">
        <v>12.99</v>
      </c>
      <c r="J22" s="10" t="inlineStr"/>
      <c r="K22" s="12">
        <f>IFERROR(I22/G22,"")</f>
        <v/>
      </c>
      <c r="L22" s="12">
        <f>IFERROR(J22/G22,"")</f>
        <v/>
      </c>
      <c r="M22" s="14">
        <f>IFERROR((I22-J22)/I22,"")</f>
        <v/>
      </c>
      <c r="N22" s="10" t="inlineStr"/>
      <c r="O22" s="11" t="inlineStr"/>
      <c r="P22" s="12">
        <f>IFERROR(N22/O22,"")</f>
        <v/>
      </c>
      <c r="Q22" s="10" t="inlineStr"/>
      <c r="R22" s="11" t="inlineStr"/>
      <c r="S22" s="12">
        <f>IFERROR(Q22/R22,"")</f>
        <v/>
      </c>
      <c r="T22" s="13" t="inlineStr"/>
      <c r="U22" s="9" t="inlineStr"/>
      <c r="V22" s="9" t="inlineStr"/>
      <c r="W22" s="13">
        <f>IF(G22="","",IF(G22&lt;=Assumptions!$B$9,Assumptions!$C$9,IF(G22&lt;=Assumptions!$B$10,Assumptions!$C$10,IF(G22&lt;=Assumptions!$B$11,Assumptions!$C$11,Assumptions!$C$12))))</f>
        <v/>
      </c>
      <c r="X22" s="13">
        <f>IF(F22="Branded",Assumptions!$B$5,IF(OR(F22="Packaging",F22="Bags"),Assumptions!$B$4,1))</f>
        <v/>
      </c>
      <c r="Y22" s="14">
        <f>IFERROR(VLOOKUP(F22,Assumptions!$A$16:$C$20,2,FALSE),0.40)</f>
        <v/>
      </c>
      <c r="Z22" s="14">
        <f>IFERROR(VLOOKUP(F22,Assumptions!$A$16:$C$20,3,FALSE),0.30)</f>
        <v/>
      </c>
      <c r="AA22" s="12">
        <f>IF(P22&lt;&gt;"",P22*X22*W22,IF(L22&lt;&gt;"",L22/(1-Y22),K22))</f>
        <v/>
      </c>
      <c r="AB22" s="12">
        <f>IF(L22&lt;&gt;"",L22/(1-Z22),"")</f>
        <v/>
      </c>
      <c r="AC22" s="12">
        <f>IF(AB22="",AA22,MAX(AA22,AB22))</f>
        <v/>
      </c>
      <c r="AD22" s="10">
        <f>IF(AC22="","",AC22*G22)</f>
        <v/>
      </c>
      <c r="AE22" s="10">
        <f>IF(AD22="","",ROUNDUP(AD22,0)-0.01)</f>
        <v/>
      </c>
      <c r="AF22" s="9">
        <f>IF(P22&lt;&gt;"","Competitor-based",IF(L22&lt;&gt;"","Cost+margin","Needs review"))</f>
        <v/>
      </c>
    </row>
    <row r="23" ht="46" customHeight="1">
      <c r="A23" s="13" t="inlineStr">
        <is>
          <t>blank-boxes-for-7ml-jars</t>
        </is>
      </c>
      <c r="B23" s="9" t="inlineStr">
        <is>
          <t>Blank Boxes for Jars</t>
        </is>
      </c>
      <c r="C23" s="9" t="inlineStr">
        <is>
          <t>Oil Slick Blank Boxes for Jars are clean, retail-ready outer boxes for your concentrate jars, built for brands and extractors who want pro packaging without being locked into pre-printed designs. Sized to fit 5ml, 6ml, 7…</t>
        </is>
      </c>
      <c r="D23" s="9" t="inlineStr">
        <is>
          <t>Size: 5ml / Quantity: 1000 / Color: White</t>
        </is>
      </c>
      <c r="E23" s="13" t="inlineStr">
        <is>
          <t>BOX FOR JAR 5ML 1000</t>
        </is>
      </c>
      <c r="F23" s="13" t="inlineStr">
        <is>
          <t>Packaging</t>
        </is>
      </c>
      <c r="G23" s="11" t="n">
        <v>1000</v>
      </c>
      <c r="H23" s="13" t="inlineStr">
        <is>
          <t>pcs</t>
        </is>
      </c>
      <c r="I23" s="10" t="n">
        <v>12.99</v>
      </c>
      <c r="J23" s="10" t="inlineStr"/>
      <c r="K23" s="12">
        <f>IFERROR(I23/G23,"")</f>
        <v/>
      </c>
      <c r="L23" s="12">
        <f>IFERROR(J23/G23,"")</f>
        <v/>
      </c>
      <c r="M23" s="14">
        <f>IFERROR((I23-J23)/I23,"")</f>
        <v/>
      </c>
      <c r="N23" s="10" t="inlineStr"/>
      <c r="O23" s="11" t="inlineStr"/>
      <c r="P23" s="12">
        <f>IFERROR(N23/O23,"")</f>
        <v/>
      </c>
      <c r="Q23" s="10" t="inlineStr"/>
      <c r="R23" s="11" t="inlineStr"/>
      <c r="S23" s="12">
        <f>IFERROR(Q23/R23,"")</f>
        <v/>
      </c>
      <c r="T23" s="13" t="inlineStr"/>
      <c r="U23" s="9" t="inlineStr"/>
      <c r="V23" s="9" t="inlineStr"/>
      <c r="W23" s="13">
        <f>IF(G23="","",IF(G23&lt;=Assumptions!$B$9,Assumptions!$C$9,IF(G23&lt;=Assumptions!$B$10,Assumptions!$C$10,IF(G23&lt;=Assumptions!$B$11,Assumptions!$C$11,Assumptions!$C$12))))</f>
        <v/>
      </c>
      <c r="X23" s="13">
        <f>IF(F23="Branded",Assumptions!$B$5,IF(OR(F23="Packaging",F23="Bags"),Assumptions!$B$4,1))</f>
        <v/>
      </c>
      <c r="Y23" s="14">
        <f>IFERROR(VLOOKUP(F23,Assumptions!$A$16:$C$20,2,FALSE),0.40)</f>
        <v/>
      </c>
      <c r="Z23" s="14">
        <f>IFERROR(VLOOKUP(F23,Assumptions!$A$16:$C$20,3,FALSE),0.30)</f>
        <v/>
      </c>
      <c r="AA23" s="12">
        <f>IF(P23&lt;&gt;"",P23*X23*W23,IF(L23&lt;&gt;"",L23/(1-Y23),K23))</f>
        <v/>
      </c>
      <c r="AB23" s="12">
        <f>IF(L23&lt;&gt;"",L23/(1-Z23),"")</f>
        <v/>
      </c>
      <c r="AC23" s="12">
        <f>IF(AB23="",AA23,MAX(AA23,AB23))</f>
        <v/>
      </c>
      <c r="AD23" s="10">
        <f>IF(AC23="","",AC23*G23)</f>
        <v/>
      </c>
      <c r="AE23" s="10">
        <f>IF(AD23="","",ROUNDUP(AD23,0)-0.01)</f>
        <v/>
      </c>
      <c r="AF23" s="9">
        <f>IF(P23&lt;&gt;"","Competitor-based",IF(L23&lt;&gt;"","Cost+margin","Needs review"))</f>
        <v/>
      </c>
    </row>
    <row r="24" ht="46" customHeight="1">
      <c r="A24" s="13" t="inlineStr">
        <is>
          <t>blank-boxes-for-7ml-jars</t>
        </is>
      </c>
      <c r="B24" s="9" t="inlineStr">
        <is>
          <t>Blank Boxes for Jars</t>
        </is>
      </c>
      <c r="C24" s="9" t="inlineStr">
        <is>
          <t>Oil Slick Blank Boxes for Jars are clean, retail-ready outer boxes for your concentrate jars, built for brands and extractors who want pro packaging without being locked into pre-printed designs. Sized to fit 5ml, 6ml, 7…</t>
        </is>
      </c>
      <c r="D24" s="9" t="inlineStr">
        <is>
          <t>Size: 6ml / Quantity: 1000 / Color: Black</t>
        </is>
      </c>
      <c r="E24" s="13" t="inlineStr">
        <is>
          <t>BOX FOR JAR 6ML 1000</t>
        </is>
      </c>
      <c r="F24" s="13" t="inlineStr">
        <is>
          <t>Packaging</t>
        </is>
      </c>
      <c r="G24" s="11" t="n">
        <v>1000</v>
      </c>
      <c r="H24" s="13" t="inlineStr">
        <is>
          <t>pcs</t>
        </is>
      </c>
      <c r="I24" s="10" t="n">
        <v>10.99</v>
      </c>
      <c r="J24" s="10" t="inlineStr"/>
      <c r="K24" s="12">
        <f>IFERROR(I24/G24,"")</f>
        <v/>
      </c>
      <c r="L24" s="12">
        <f>IFERROR(J24/G24,"")</f>
        <v/>
      </c>
      <c r="M24" s="14">
        <f>IFERROR((I24-J24)/I24,"")</f>
        <v/>
      </c>
      <c r="N24" s="10" t="inlineStr"/>
      <c r="O24" s="11" t="inlineStr"/>
      <c r="P24" s="12">
        <f>IFERROR(N24/O24,"")</f>
        <v/>
      </c>
      <c r="Q24" s="10" t="inlineStr"/>
      <c r="R24" s="11" t="inlineStr"/>
      <c r="S24" s="12">
        <f>IFERROR(Q24/R24,"")</f>
        <v/>
      </c>
      <c r="T24" s="13" t="inlineStr"/>
      <c r="U24" s="9" t="inlineStr"/>
      <c r="V24" s="9" t="inlineStr"/>
      <c r="W24" s="13">
        <f>IF(G24="","",IF(G24&lt;=Assumptions!$B$9,Assumptions!$C$9,IF(G24&lt;=Assumptions!$B$10,Assumptions!$C$10,IF(G24&lt;=Assumptions!$B$11,Assumptions!$C$11,Assumptions!$C$12))))</f>
        <v/>
      </c>
      <c r="X24" s="13">
        <f>IF(F24="Branded",Assumptions!$B$5,IF(OR(F24="Packaging",F24="Bags"),Assumptions!$B$4,1))</f>
        <v/>
      </c>
      <c r="Y24" s="14">
        <f>IFERROR(VLOOKUP(F24,Assumptions!$A$16:$C$20,2,FALSE),0.40)</f>
        <v/>
      </c>
      <c r="Z24" s="14">
        <f>IFERROR(VLOOKUP(F24,Assumptions!$A$16:$C$20,3,FALSE),0.30)</f>
        <v/>
      </c>
      <c r="AA24" s="12">
        <f>IF(P24&lt;&gt;"",P24*X24*W24,IF(L24&lt;&gt;"",L24/(1-Y24),K24))</f>
        <v/>
      </c>
      <c r="AB24" s="12">
        <f>IF(L24&lt;&gt;"",L24/(1-Z24),"")</f>
        <v/>
      </c>
      <c r="AC24" s="12">
        <f>IF(AB24="",AA24,MAX(AA24,AB24))</f>
        <v/>
      </c>
      <c r="AD24" s="10">
        <f>IF(AC24="","",AC24*G24)</f>
        <v/>
      </c>
      <c r="AE24" s="10">
        <f>IF(AD24="","",ROUNDUP(AD24,0)-0.01)</f>
        <v/>
      </c>
      <c r="AF24" s="9">
        <f>IF(P24&lt;&gt;"","Competitor-based",IF(L24&lt;&gt;"","Cost+margin","Needs review"))</f>
        <v/>
      </c>
    </row>
    <row r="25" ht="46" customHeight="1">
      <c r="A25" s="13" t="inlineStr">
        <is>
          <t>blank-boxes-for-7ml-jars</t>
        </is>
      </c>
      <c r="B25" s="9" t="inlineStr">
        <is>
          <t>Blank Boxes for Jars</t>
        </is>
      </c>
      <c r="C25" s="9" t="inlineStr">
        <is>
          <t>Oil Slick Blank Boxes for Jars are clean, retail-ready outer boxes for your concentrate jars, built for brands and extractors who want pro packaging without being locked into pre-printed designs. Sized to fit 5ml, 6ml, 7…</t>
        </is>
      </c>
      <c r="D25" s="9" t="inlineStr">
        <is>
          <t>Size: 6ml / Quantity: 1000 / Color: White</t>
        </is>
      </c>
      <c r="E25" s="13" t="inlineStr">
        <is>
          <t>BOX FOR JAR 6ML 1000</t>
        </is>
      </c>
      <c r="F25" s="13" t="inlineStr">
        <is>
          <t>Packaging</t>
        </is>
      </c>
      <c r="G25" s="11" t="n">
        <v>1000</v>
      </c>
      <c r="H25" s="13" t="inlineStr">
        <is>
          <t>pcs</t>
        </is>
      </c>
      <c r="I25" s="10" t="n">
        <v>19.99</v>
      </c>
      <c r="J25" s="10" t="inlineStr"/>
      <c r="K25" s="12">
        <f>IFERROR(I25/G25,"")</f>
        <v/>
      </c>
      <c r="L25" s="12">
        <f>IFERROR(J25/G25,"")</f>
        <v/>
      </c>
      <c r="M25" s="14">
        <f>IFERROR((I25-J25)/I25,"")</f>
        <v/>
      </c>
      <c r="N25" s="10" t="inlineStr"/>
      <c r="O25" s="11" t="inlineStr"/>
      <c r="P25" s="12">
        <f>IFERROR(N25/O25,"")</f>
        <v/>
      </c>
      <c r="Q25" s="10" t="inlineStr"/>
      <c r="R25" s="11" t="inlineStr"/>
      <c r="S25" s="12">
        <f>IFERROR(Q25/R25,"")</f>
        <v/>
      </c>
      <c r="T25" s="13" t="inlineStr"/>
      <c r="U25" s="9" t="inlineStr"/>
      <c r="V25" s="9" t="inlineStr"/>
      <c r="W25" s="13">
        <f>IF(G25="","",IF(G25&lt;=Assumptions!$B$9,Assumptions!$C$9,IF(G25&lt;=Assumptions!$B$10,Assumptions!$C$10,IF(G25&lt;=Assumptions!$B$11,Assumptions!$C$11,Assumptions!$C$12))))</f>
        <v/>
      </c>
      <c r="X25" s="13">
        <f>IF(F25="Branded",Assumptions!$B$5,IF(OR(F25="Packaging",F25="Bags"),Assumptions!$B$4,1))</f>
        <v/>
      </c>
      <c r="Y25" s="14">
        <f>IFERROR(VLOOKUP(F25,Assumptions!$A$16:$C$20,2,FALSE),0.40)</f>
        <v/>
      </c>
      <c r="Z25" s="14">
        <f>IFERROR(VLOOKUP(F25,Assumptions!$A$16:$C$20,3,FALSE),0.30)</f>
        <v/>
      </c>
      <c r="AA25" s="12">
        <f>IF(P25&lt;&gt;"",P25*X25*W25,IF(L25&lt;&gt;"",L25/(1-Y25),K25))</f>
        <v/>
      </c>
      <c r="AB25" s="12">
        <f>IF(L25&lt;&gt;"",L25/(1-Z25),"")</f>
        <v/>
      </c>
      <c r="AC25" s="12">
        <f>IF(AB25="",AA25,MAX(AA25,AB25))</f>
        <v/>
      </c>
      <c r="AD25" s="10">
        <f>IF(AC25="","",AC25*G25)</f>
        <v/>
      </c>
      <c r="AE25" s="10">
        <f>IF(AD25="","",ROUNDUP(AD25,0)-0.01)</f>
        <v/>
      </c>
      <c r="AF25" s="9">
        <f>IF(P25&lt;&gt;"","Competitor-based",IF(L25&lt;&gt;"","Cost+margin","Needs review"))</f>
        <v/>
      </c>
    </row>
    <row r="26" ht="46" customHeight="1">
      <c r="A26" s="13" t="inlineStr">
        <is>
          <t>blank-boxes-for-7ml-jars</t>
        </is>
      </c>
      <c r="B26" s="9" t="inlineStr">
        <is>
          <t>Blank Boxes for Jars</t>
        </is>
      </c>
      <c r="C26" s="9" t="inlineStr">
        <is>
          <t>Oil Slick Blank Boxes for Jars are clean, retail-ready outer boxes for your concentrate jars, built for brands and extractors who want pro packaging without being locked into pre-printed designs. Sized to fit 5ml, 6ml, 7…</t>
        </is>
      </c>
      <c r="D26" s="9" t="inlineStr">
        <is>
          <t>Size: 7ml / Quantity: 1000 / Color: Black</t>
        </is>
      </c>
      <c r="E26" s="13" t="inlineStr">
        <is>
          <t>BOX FOR JAR 7ML 1000</t>
        </is>
      </c>
      <c r="F26" s="13" t="inlineStr">
        <is>
          <t>Packaging</t>
        </is>
      </c>
      <c r="G26" s="11" t="n">
        <v>1000</v>
      </c>
      <c r="H26" s="13" t="inlineStr">
        <is>
          <t>pcs</t>
        </is>
      </c>
      <c r="I26" s="10" t="n">
        <v>599.99</v>
      </c>
      <c r="J26" s="10" t="n">
        <v>444</v>
      </c>
      <c r="K26" s="12">
        <f>IFERROR(I26/G26,"")</f>
        <v/>
      </c>
      <c r="L26" s="12">
        <f>IFERROR(J26/G26,"")</f>
        <v/>
      </c>
      <c r="M26" s="14">
        <f>IFERROR((I26-J26)/I26,"")</f>
        <v/>
      </c>
      <c r="N26" s="10" t="inlineStr"/>
      <c r="O26" s="11" t="inlineStr"/>
      <c r="P26" s="12">
        <f>IFERROR(N26/O26,"")</f>
        <v/>
      </c>
      <c r="Q26" s="10" t="inlineStr"/>
      <c r="R26" s="11" t="inlineStr"/>
      <c r="S26" s="12">
        <f>IFERROR(Q26/R26,"")</f>
        <v/>
      </c>
      <c r="T26" s="13" t="inlineStr"/>
      <c r="U26" s="9" t="inlineStr"/>
      <c r="V26" s="9" t="inlineStr"/>
      <c r="W26" s="13">
        <f>IF(G26="","",IF(G26&lt;=Assumptions!$B$9,Assumptions!$C$9,IF(G26&lt;=Assumptions!$B$10,Assumptions!$C$10,IF(G26&lt;=Assumptions!$B$11,Assumptions!$C$11,Assumptions!$C$12))))</f>
        <v/>
      </c>
      <c r="X26" s="13">
        <f>IF(F26="Branded",Assumptions!$B$5,IF(OR(F26="Packaging",F26="Bags"),Assumptions!$B$4,1))</f>
        <v/>
      </c>
      <c r="Y26" s="14">
        <f>IFERROR(VLOOKUP(F26,Assumptions!$A$16:$C$20,2,FALSE),0.40)</f>
        <v/>
      </c>
      <c r="Z26" s="14">
        <f>IFERROR(VLOOKUP(F26,Assumptions!$A$16:$C$20,3,FALSE),0.30)</f>
        <v/>
      </c>
      <c r="AA26" s="12">
        <f>IF(P26&lt;&gt;"",P26*X26*W26,IF(L26&lt;&gt;"",L26/(1-Y26),K26))</f>
        <v/>
      </c>
      <c r="AB26" s="12">
        <f>IF(L26&lt;&gt;"",L26/(1-Z26),"")</f>
        <v/>
      </c>
      <c r="AC26" s="12">
        <f>IF(AB26="",AA26,MAX(AA26,AB26))</f>
        <v/>
      </c>
      <c r="AD26" s="10">
        <f>IF(AC26="","",AC26*G26)</f>
        <v/>
      </c>
      <c r="AE26" s="10">
        <f>IF(AD26="","",ROUNDUP(AD26,0)-0.01)</f>
        <v/>
      </c>
      <c r="AF26" s="9">
        <f>IF(P26&lt;&gt;"","Competitor-based",IF(L26&lt;&gt;"","Cost+margin","Needs review"))</f>
        <v/>
      </c>
    </row>
    <row r="27" ht="46" customHeight="1">
      <c r="A27" s="13" t="inlineStr">
        <is>
          <t>blank-boxes-for-7ml-jars</t>
        </is>
      </c>
      <c r="B27" s="9" t="inlineStr">
        <is>
          <t>Blank Boxes for Jars</t>
        </is>
      </c>
      <c r="C27" s="9" t="inlineStr">
        <is>
          <t>Oil Slick Blank Boxes for Jars are clean, retail-ready outer boxes for your concentrate jars, built for brands and extractors who want pro packaging without being locked into pre-printed designs. Sized to fit 5ml, 6ml, 7…</t>
        </is>
      </c>
      <c r="D27" s="9" t="inlineStr">
        <is>
          <t>Size: 7ml / Quantity: 1000 / Color: White</t>
        </is>
      </c>
      <c r="E27" s="13" t="inlineStr">
        <is>
          <t>BOX FOR JAR 7ML 1000</t>
        </is>
      </c>
      <c r="F27" s="13" t="inlineStr">
        <is>
          <t>Packaging</t>
        </is>
      </c>
      <c r="G27" s="11" t="n">
        <v>1000</v>
      </c>
      <c r="H27" s="13" t="inlineStr">
        <is>
          <t>pcs</t>
        </is>
      </c>
      <c r="I27" s="10" t="n">
        <v>9.99</v>
      </c>
      <c r="J27" s="10" t="n">
        <v>335</v>
      </c>
      <c r="K27" s="12">
        <f>IFERROR(I27/G27,"")</f>
        <v/>
      </c>
      <c r="L27" s="12">
        <f>IFERROR(J27/G27,"")</f>
        <v/>
      </c>
      <c r="M27" s="14">
        <f>IFERROR((I27-J27)/I27,"")</f>
        <v/>
      </c>
      <c r="N27" s="10" t="inlineStr"/>
      <c r="O27" s="11" t="inlineStr"/>
      <c r="P27" s="12">
        <f>IFERROR(N27/O27,"")</f>
        <v/>
      </c>
      <c r="Q27" s="10" t="inlineStr"/>
      <c r="R27" s="11" t="inlineStr"/>
      <c r="S27" s="12">
        <f>IFERROR(Q27/R27,"")</f>
        <v/>
      </c>
      <c r="T27" s="13" t="inlineStr"/>
      <c r="U27" s="9" t="inlineStr"/>
      <c r="V27" s="9" t="inlineStr"/>
      <c r="W27" s="13">
        <f>IF(G27="","",IF(G27&lt;=Assumptions!$B$9,Assumptions!$C$9,IF(G27&lt;=Assumptions!$B$10,Assumptions!$C$10,IF(G27&lt;=Assumptions!$B$11,Assumptions!$C$11,Assumptions!$C$12))))</f>
        <v/>
      </c>
      <c r="X27" s="13">
        <f>IF(F27="Branded",Assumptions!$B$5,IF(OR(F27="Packaging",F27="Bags"),Assumptions!$B$4,1))</f>
        <v/>
      </c>
      <c r="Y27" s="14">
        <f>IFERROR(VLOOKUP(F27,Assumptions!$A$16:$C$20,2,FALSE),0.40)</f>
        <v/>
      </c>
      <c r="Z27" s="14">
        <f>IFERROR(VLOOKUP(F27,Assumptions!$A$16:$C$20,3,FALSE),0.30)</f>
        <v/>
      </c>
      <c r="AA27" s="12">
        <f>IF(P27&lt;&gt;"",P27*X27*W27,IF(L27&lt;&gt;"",L27/(1-Y27),K27))</f>
        <v/>
      </c>
      <c r="AB27" s="12">
        <f>IF(L27&lt;&gt;"",L27/(1-Z27),"")</f>
        <v/>
      </c>
      <c r="AC27" s="12">
        <f>IF(AB27="",AA27,MAX(AA27,AB27))</f>
        <v/>
      </c>
      <c r="AD27" s="10">
        <f>IF(AC27="","",AC27*G27)</f>
        <v/>
      </c>
      <c r="AE27" s="10">
        <f>IF(AD27="","",ROUNDUP(AD27,0)-0.01)</f>
        <v/>
      </c>
      <c r="AF27" s="9">
        <f>IF(P27&lt;&gt;"","Competitor-based",IF(L27&lt;&gt;"","Cost+margin","Needs review"))</f>
        <v/>
      </c>
    </row>
    <row r="28" ht="46" customHeight="1">
      <c r="A28" s="13" t="inlineStr">
        <is>
          <t>blank-boxes-for-7ml-jars</t>
        </is>
      </c>
      <c r="B28" s="9" t="inlineStr">
        <is>
          <t>Blank Boxes for Jars</t>
        </is>
      </c>
      <c r="C28" s="9" t="inlineStr">
        <is>
          <t>Oil Slick Blank Boxes for Jars are clean, retail-ready outer boxes for your concentrate jars, built for brands and extractors who want pro packaging without being locked into pre-printed designs. Sized to fit 5ml, 6ml, 7…</t>
        </is>
      </c>
      <c r="D28" s="9" t="inlineStr">
        <is>
          <t>Size: 9ml / Quantity: 1000 / Color: Black</t>
        </is>
      </c>
      <c r="E28" s="13" t="inlineStr">
        <is>
          <t>BOX FOR JAR 9ML 1000</t>
        </is>
      </c>
      <c r="F28" s="13" t="inlineStr">
        <is>
          <t>Packaging</t>
        </is>
      </c>
      <c r="G28" s="11" t="n">
        <v>1000</v>
      </c>
      <c r="H28" s="13" t="inlineStr">
        <is>
          <t>pcs</t>
        </is>
      </c>
      <c r="I28" s="10" t="n">
        <v>24.99</v>
      </c>
      <c r="J28" s="10" t="n">
        <v>553</v>
      </c>
      <c r="K28" s="12">
        <f>IFERROR(I28/G28,"")</f>
        <v/>
      </c>
      <c r="L28" s="12">
        <f>IFERROR(J28/G28,"")</f>
        <v/>
      </c>
      <c r="M28" s="14">
        <f>IFERROR((I28-J28)/I28,"")</f>
        <v/>
      </c>
      <c r="N28" s="10" t="inlineStr"/>
      <c r="O28" s="11" t="inlineStr"/>
      <c r="P28" s="12">
        <f>IFERROR(N28/O28,"")</f>
        <v/>
      </c>
      <c r="Q28" s="10" t="inlineStr"/>
      <c r="R28" s="11" t="inlineStr"/>
      <c r="S28" s="12">
        <f>IFERROR(Q28/R28,"")</f>
        <v/>
      </c>
      <c r="T28" s="13" t="inlineStr"/>
      <c r="U28" s="9" t="inlineStr"/>
      <c r="V28" s="9" t="inlineStr"/>
      <c r="W28" s="13">
        <f>IF(G28="","",IF(G28&lt;=Assumptions!$B$9,Assumptions!$C$9,IF(G28&lt;=Assumptions!$B$10,Assumptions!$C$10,IF(G28&lt;=Assumptions!$B$11,Assumptions!$C$11,Assumptions!$C$12))))</f>
        <v/>
      </c>
      <c r="X28" s="13">
        <f>IF(F28="Branded",Assumptions!$B$5,IF(OR(F28="Packaging",F28="Bags"),Assumptions!$B$4,1))</f>
        <v/>
      </c>
      <c r="Y28" s="14">
        <f>IFERROR(VLOOKUP(F28,Assumptions!$A$16:$C$20,2,FALSE),0.40)</f>
        <v/>
      </c>
      <c r="Z28" s="14">
        <f>IFERROR(VLOOKUP(F28,Assumptions!$A$16:$C$20,3,FALSE),0.30)</f>
        <v/>
      </c>
      <c r="AA28" s="12">
        <f>IF(P28&lt;&gt;"",P28*X28*W28,IF(L28&lt;&gt;"",L28/(1-Y28),K28))</f>
        <v/>
      </c>
      <c r="AB28" s="12">
        <f>IF(L28&lt;&gt;"",L28/(1-Z28),"")</f>
        <v/>
      </c>
      <c r="AC28" s="12">
        <f>IF(AB28="",AA28,MAX(AA28,AB28))</f>
        <v/>
      </c>
      <c r="AD28" s="10">
        <f>IF(AC28="","",AC28*G28)</f>
        <v/>
      </c>
      <c r="AE28" s="10">
        <f>IF(AD28="","",ROUNDUP(AD28,0)-0.01)</f>
        <v/>
      </c>
      <c r="AF28" s="9">
        <f>IF(P28&lt;&gt;"","Competitor-based",IF(L28&lt;&gt;"","Cost+margin","Needs review"))</f>
        <v/>
      </c>
    </row>
    <row r="29" ht="46" customHeight="1">
      <c r="A29" s="13" t="inlineStr">
        <is>
          <t>blank-boxes-for-7ml-jars</t>
        </is>
      </c>
      <c r="B29" s="9" t="inlineStr">
        <is>
          <t>Blank Boxes for Jars</t>
        </is>
      </c>
      <c r="C29" s="9" t="inlineStr">
        <is>
          <t>Oil Slick Blank Boxes for Jars are clean, retail-ready outer boxes for your concentrate jars, built for brands and extractors who want pro packaging without being locked into pre-printed designs. Sized to fit 5ml, 6ml, 7…</t>
        </is>
      </c>
      <c r="D29" s="9" t="inlineStr">
        <is>
          <t>Size: 6ml / Quantity: 5000 / Color: White</t>
        </is>
      </c>
      <c r="E29" s="13" t="inlineStr">
        <is>
          <t>BOX FOR JAR 6ML 5000</t>
        </is>
      </c>
      <c r="F29" s="13" t="inlineStr">
        <is>
          <t>Packaging</t>
        </is>
      </c>
      <c r="G29" s="11" t="n">
        <v>5000</v>
      </c>
      <c r="H29" s="13" t="inlineStr">
        <is>
          <t>pcs</t>
        </is>
      </c>
      <c r="I29" s="10" t="n">
        <v>12.99</v>
      </c>
      <c r="J29" s="10" t="inlineStr"/>
      <c r="K29" s="12">
        <f>IFERROR(I29/G29,"")</f>
        <v/>
      </c>
      <c r="L29" s="12">
        <f>IFERROR(J29/G29,"")</f>
        <v/>
      </c>
      <c r="M29" s="14">
        <f>IFERROR((I29-J29)/I29,"")</f>
        <v/>
      </c>
      <c r="N29" s="10" t="inlineStr"/>
      <c r="O29" s="11" t="inlineStr"/>
      <c r="P29" s="12">
        <f>IFERROR(N29/O29,"")</f>
        <v/>
      </c>
      <c r="Q29" s="10" t="inlineStr"/>
      <c r="R29" s="11" t="inlineStr"/>
      <c r="S29" s="12">
        <f>IFERROR(Q29/R29,"")</f>
        <v/>
      </c>
      <c r="T29" s="13" t="inlineStr"/>
      <c r="U29" s="9" t="inlineStr"/>
      <c r="V29" s="9" t="inlineStr"/>
      <c r="W29" s="13">
        <f>IF(G29="","",IF(G29&lt;=Assumptions!$B$9,Assumptions!$C$9,IF(G29&lt;=Assumptions!$B$10,Assumptions!$C$10,IF(G29&lt;=Assumptions!$B$11,Assumptions!$C$11,Assumptions!$C$12))))</f>
        <v/>
      </c>
      <c r="X29" s="13">
        <f>IF(F29="Branded",Assumptions!$B$5,IF(OR(F29="Packaging",F29="Bags"),Assumptions!$B$4,1))</f>
        <v/>
      </c>
      <c r="Y29" s="14">
        <f>IFERROR(VLOOKUP(F29,Assumptions!$A$16:$C$20,2,FALSE),0.40)</f>
        <v/>
      </c>
      <c r="Z29" s="14">
        <f>IFERROR(VLOOKUP(F29,Assumptions!$A$16:$C$20,3,FALSE),0.30)</f>
        <v/>
      </c>
      <c r="AA29" s="12">
        <f>IF(P29&lt;&gt;"",P29*X29*W29,IF(L29&lt;&gt;"",L29/(1-Y29),K29))</f>
        <v/>
      </c>
      <c r="AB29" s="12">
        <f>IF(L29&lt;&gt;"",L29/(1-Z29),"")</f>
        <v/>
      </c>
      <c r="AC29" s="12">
        <f>IF(AB29="",AA29,MAX(AA29,AB29))</f>
        <v/>
      </c>
      <c r="AD29" s="10">
        <f>IF(AC29="","",AC29*G29)</f>
        <v/>
      </c>
      <c r="AE29" s="10">
        <f>IF(AD29="","",ROUNDUP(AD29,0)-0.01)</f>
        <v/>
      </c>
      <c r="AF29" s="9">
        <f>IF(P29&lt;&gt;"","Competitor-based",IF(L29&lt;&gt;"","Cost+margin","Needs review"))</f>
        <v/>
      </c>
    </row>
    <row r="30" ht="46" customHeight="1">
      <c r="A30" s="13" t="inlineStr">
        <is>
          <t>blank-boxes-for-7ml-jars</t>
        </is>
      </c>
      <c r="B30" s="9" t="inlineStr">
        <is>
          <t>Blank Boxes for Jars</t>
        </is>
      </c>
      <c r="C30" s="9" t="inlineStr">
        <is>
          <t>Oil Slick Blank Boxes for Jars are clean, retail-ready outer boxes for your concentrate jars, built for brands and extractors who want pro packaging without being locked into pre-printed designs. Sized to fit 5ml, 6ml, 7…</t>
        </is>
      </c>
      <c r="D30" s="9" t="inlineStr">
        <is>
          <t>Size: 5ml / Quantity: 5000 / Color: Black</t>
        </is>
      </c>
      <c r="E30" s="13" t="inlineStr">
        <is>
          <t>BOX FOR JAR 5ML 5000</t>
        </is>
      </c>
      <c r="F30" s="13" t="inlineStr">
        <is>
          <t>Packaging</t>
        </is>
      </c>
      <c r="G30" s="11" t="n">
        <v>5000</v>
      </c>
      <c r="H30" s="13" t="inlineStr">
        <is>
          <t>pcs</t>
        </is>
      </c>
      <c r="I30" s="10" t="n">
        <v>9.99</v>
      </c>
      <c r="J30" s="10" t="inlineStr"/>
      <c r="K30" s="12">
        <f>IFERROR(I30/G30,"")</f>
        <v/>
      </c>
      <c r="L30" s="12">
        <f>IFERROR(J30/G30,"")</f>
        <v/>
      </c>
      <c r="M30" s="14">
        <f>IFERROR((I30-J30)/I30,"")</f>
        <v/>
      </c>
      <c r="N30" s="10" t="inlineStr"/>
      <c r="O30" s="11" t="inlineStr"/>
      <c r="P30" s="12">
        <f>IFERROR(N30/O30,"")</f>
        <v/>
      </c>
      <c r="Q30" s="10" t="inlineStr"/>
      <c r="R30" s="11" t="inlineStr"/>
      <c r="S30" s="12">
        <f>IFERROR(Q30/R30,"")</f>
        <v/>
      </c>
      <c r="T30" s="13" t="inlineStr"/>
      <c r="U30" s="9" t="inlineStr"/>
      <c r="V30" s="9" t="inlineStr"/>
      <c r="W30" s="13">
        <f>IF(G30="","",IF(G30&lt;=Assumptions!$B$9,Assumptions!$C$9,IF(G30&lt;=Assumptions!$B$10,Assumptions!$C$10,IF(G30&lt;=Assumptions!$B$11,Assumptions!$C$11,Assumptions!$C$12))))</f>
        <v/>
      </c>
      <c r="X30" s="13">
        <f>IF(F30="Branded",Assumptions!$B$5,IF(OR(F30="Packaging",F30="Bags"),Assumptions!$B$4,1))</f>
        <v/>
      </c>
      <c r="Y30" s="14">
        <f>IFERROR(VLOOKUP(F30,Assumptions!$A$16:$C$20,2,FALSE),0.40)</f>
        <v/>
      </c>
      <c r="Z30" s="14">
        <f>IFERROR(VLOOKUP(F30,Assumptions!$A$16:$C$20,3,FALSE),0.30)</f>
        <v/>
      </c>
      <c r="AA30" s="12">
        <f>IF(P30&lt;&gt;"",P30*X30*W30,IF(L30&lt;&gt;"",L30/(1-Y30),K30))</f>
        <v/>
      </c>
      <c r="AB30" s="12">
        <f>IF(L30&lt;&gt;"",L30/(1-Z30),"")</f>
        <v/>
      </c>
      <c r="AC30" s="12">
        <f>IF(AB30="",AA30,MAX(AA30,AB30))</f>
        <v/>
      </c>
      <c r="AD30" s="10">
        <f>IF(AC30="","",AC30*G30)</f>
        <v/>
      </c>
      <c r="AE30" s="10">
        <f>IF(AD30="","",ROUNDUP(AD30,0)-0.01)</f>
        <v/>
      </c>
      <c r="AF30" s="9">
        <f>IF(P30&lt;&gt;"","Competitor-based",IF(L30&lt;&gt;"","Cost+margin","Needs review"))</f>
        <v/>
      </c>
    </row>
    <row r="31" ht="46" customHeight="1">
      <c r="A31" s="13" t="inlineStr">
        <is>
          <t>blank-boxes-for-7ml-jars</t>
        </is>
      </c>
      <c r="B31" s="9" t="inlineStr">
        <is>
          <t>Blank Boxes for Jars</t>
        </is>
      </c>
      <c r="C31" s="9" t="inlineStr">
        <is>
          <t>Oil Slick Blank Boxes for Jars are clean, retail-ready outer boxes for your concentrate jars, built for brands and extractors who want pro packaging without being locked into pre-printed designs. Sized to fit 5ml, 6ml, 7…</t>
        </is>
      </c>
      <c r="D31" s="9" t="inlineStr">
        <is>
          <t>Size: 6ml / Quantity: 10000 / Color: Black</t>
        </is>
      </c>
      <c r="E31" s="13" t="inlineStr">
        <is>
          <t>BOX FOR JAR 6ML 10000</t>
        </is>
      </c>
      <c r="F31" s="13" t="inlineStr">
        <is>
          <t>Packaging</t>
        </is>
      </c>
      <c r="G31" s="11" t="n">
        <v>10000</v>
      </c>
      <c r="H31" s="13" t="inlineStr">
        <is>
          <t>pcs</t>
        </is>
      </c>
      <c r="I31" s="10" t="n">
        <v>599.99</v>
      </c>
      <c r="J31" s="10" t="inlineStr"/>
      <c r="K31" s="12">
        <f>IFERROR(I31/G31,"")</f>
        <v/>
      </c>
      <c r="L31" s="12">
        <f>IFERROR(J31/G31,"")</f>
        <v/>
      </c>
      <c r="M31" s="14">
        <f>IFERROR((I31-J31)/I31,"")</f>
        <v/>
      </c>
      <c r="N31" s="10" t="inlineStr"/>
      <c r="O31" s="11" t="inlineStr"/>
      <c r="P31" s="12">
        <f>IFERROR(N31/O31,"")</f>
        <v/>
      </c>
      <c r="Q31" s="10" t="inlineStr"/>
      <c r="R31" s="11" t="inlineStr"/>
      <c r="S31" s="12">
        <f>IFERROR(Q31/R31,"")</f>
        <v/>
      </c>
      <c r="T31" s="13" t="inlineStr"/>
      <c r="U31" s="9" t="inlineStr"/>
      <c r="V31" s="9" t="inlineStr"/>
      <c r="W31" s="13">
        <f>IF(G31="","",IF(G31&lt;=Assumptions!$B$9,Assumptions!$C$9,IF(G31&lt;=Assumptions!$B$10,Assumptions!$C$10,IF(G31&lt;=Assumptions!$B$11,Assumptions!$C$11,Assumptions!$C$12))))</f>
        <v/>
      </c>
      <c r="X31" s="13">
        <f>IF(F31="Branded",Assumptions!$B$5,IF(OR(F31="Packaging",F31="Bags"),Assumptions!$B$4,1))</f>
        <v/>
      </c>
      <c r="Y31" s="14">
        <f>IFERROR(VLOOKUP(F31,Assumptions!$A$16:$C$20,2,FALSE),0.40)</f>
        <v/>
      </c>
      <c r="Z31" s="14">
        <f>IFERROR(VLOOKUP(F31,Assumptions!$A$16:$C$20,3,FALSE),0.30)</f>
        <v/>
      </c>
      <c r="AA31" s="12">
        <f>IF(P31&lt;&gt;"",P31*X31*W31,IF(L31&lt;&gt;"",L31/(1-Y31),K31))</f>
        <v/>
      </c>
      <c r="AB31" s="12">
        <f>IF(L31&lt;&gt;"",L31/(1-Z31),"")</f>
        <v/>
      </c>
      <c r="AC31" s="12">
        <f>IF(AB31="",AA31,MAX(AA31,AB31))</f>
        <v/>
      </c>
      <c r="AD31" s="10">
        <f>IF(AC31="","",AC31*G31)</f>
        <v/>
      </c>
      <c r="AE31" s="10">
        <f>IF(AD31="","",ROUNDUP(AD31,0)-0.01)</f>
        <v/>
      </c>
      <c r="AF31" s="9">
        <f>IF(P31&lt;&gt;"","Competitor-based",IF(L31&lt;&gt;"","Cost+margin","Needs review"))</f>
        <v/>
      </c>
    </row>
    <row r="32" ht="46" customHeight="1">
      <c r="A32" s="13" t="inlineStr">
        <is>
          <t>blank-boxes-for-7ml-jars</t>
        </is>
      </c>
      <c r="B32" s="9" t="inlineStr">
        <is>
          <t>Blank Boxes for Jars</t>
        </is>
      </c>
      <c r="C32" s="9" t="inlineStr">
        <is>
          <t>Oil Slick Blank Boxes for Jars are clean, retail-ready outer boxes for your concentrate jars, built for brands and extractors who want pro packaging without being locked into pre-printed designs. Sized to fit 5ml, 6ml, 7…</t>
        </is>
      </c>
      <c r="D32" s="9" t="inlineStr">
        <is>
          <t>Size: 5ml / Quantity: 5000 / Color: White</t>
        </is>
      </c>
      <c r="E32" s="13" t="inlineStr">
        <is>
          <t>BOX FOR JAR 5ML 5000</t>
        </is>
      </c>
      <c r="F32" s="13" t="inlineStr">
        <is>
          <t>Packaging</t>
        </is>
      </c>
      <c r="G32" s="11" t="n">
        <v>5000</v>
      </c>
      <c r="H32" s="13" t="inlineStr">
        <is>
          <t>pcs</t>
        </is>
      </c>
      <c r="I32" s="10" t="n">
        <v>12.99</v>
      </c>
      <c r="J32" s="10" t="inlineStr"/>
      <c r="K32" s="12">
        <f>IFERROR(I32/G32,"")</f>
        <v/>
      </c>
      <c r="L32" s="12">
        <f>IFERROR(J32/G32,"")</f>
        <v/>
      </c>
      <c r="M32" s="14">
        <f>IFERROR((I32-J32)/I32,"")</f>
        <v/>
      </c>
      <c r="N32" s="10" t="inlineStr"/>
      <c r="O32" s="11" t="inlineStr"/>
      <c r="P32" s="12">
        <f>IFERROR(N32/O32,"")</f>
        <v/>
      </c>
      <c r="Q32" s="10" t="inlineStr"/>
      <c r="R32" s="11" t="inlineStr"/>
      <c r="S32" s="12">
        <f>IFERROR(Q32/R32,"")</f>
        <v/>
      </c>
      <c r="T32" s="13" t="inlineStr"/>
      <c r="U32" s="9" t="inlineStr"/>
      <c r="V32" s="9" t="inlineStr"/>
      <c r="W32" s="13">
        <f>IF(G32="","",IF(G32&lt;=Assumptions!$B$9,Assumptions!$C$9,IF(G32&lt;=Assumptions!$B$10,Assumptions!$C$10,IF(G32&lt;=Assumptions!$B$11,Assumptions!$C$11,Assumptions!$C$12))))</f>
        <v/>
      </c>
      <c r="X32" s="13">
        <f>IF(F32="Branded",Assumptions!$B$5,IF(OR(F32="Packaging",F32="Bags"),Assumptions!$B$4,1))</f>
        <v/>
      </c>
      <c r="Y32" s="14">
        <f>IFERROR(VLOOKUP(F32,Assumptions!$A$16:$C$20,2,FALSE),0.40)</f>
        <v/>
      </c>
      <c r="Z32" s="14">
        <f>IFERROR(VLOOKUP(F32,Assumptions!$A$16:$C$20,3,FALSE),0.30)</f>
        <v/>
      </c>
      <c r="AA32" s="12">
        <f>IF(P32&lt;&gt;"",P32*X32*W32,IF(L32&lt;&gt;"",L32/(1-Y32),K32))</f>
        <v/>
      </c>
      <c r="AB32" s="12">
        <f>IF(L32&lt;&gt;"",L32/(1-Z32),"")</f>
        <v/>
      </c>
      <c r="AC32" s="12">
        <f>IF(AB32="",AA32,MAX(AA32,AB32))</f>
        <v/>
      </c>
      <c r="AD32" s="10">
        <f>IF(AC32="","",AC32*G32)</f>
        <v/>
      </c>
      <c r="AE32" s="10">
        <f>IF(AD32="","",ROUNDUP(AD32,0)-0.01)</f>
        <v/>
      </c>
      <c r="AF32" s="9">
        <f>IF(P32&lt;&gt;"","Competitor-based",IF(L32&lt;&gt;"","Cost+margin","Needs review"))</f>
        <v/>
      </c>
    </row>
    <row r="33" ht="46" customHeight="1">
      <c r="A33" s="13" t="inlineStr">
        <is>
          <t>blank-boxes-for-7ml-jars</t>
        </is>
      </c>
      <c r="B33" s="9" t="inlineStr">
        <is>
          <t>Blank Boxes for Jars</t>
        </is>
      </c>
      <c r="C33" s="9" t="inlineStr">
        <is>
          <t>Oil Slick Blank Boxes for Jars are clean, retail-ready outer boxes for your concentrate jars, built for brands and extractors who want pro packaging without being locked into pre-printed designs. Sized to fit 5ml, 6ml, 7…</t>
        </is>
      </c>
      <c r="D33" s="9" t="inlineStr">
        <is>
          <t>Size: 6ml / Quantity: 5000 / Color: Black</t>
        </is>
      </c>
      <c r="E33" s="13" t="inlineStr">
        <is>
          <t>BOX FOR JAR 6ML 5000</t>
        </is>
      </c>
      <c r="F33" s="13" t="inlineStr">
        <is>
          <t>Packaging</t>
        </is>
      </c>
      <c r="G33" s="11" t="n">
        <v>5000</v>
      </c>
      <c r="H33" s="13" t="inlineStr">
        <is>
          <t>pcs</t>
        </is>
      </c>
      <c r="I33" s="10" t="n">
        <v>12.99</v>
      </c>
      <c r="J33" s="10" t="inlineStr"/>
      <c r="K33" s="12">
        <f>IFERROR(I33/G33,"")</f>
        <v/>
      </c>
      <c r="L33" s="12">
        <f>IFERROR(J33/G33,"")</f>
        <v/>
      </c>
      <c r="M33" s="14">
        <f>IFERROR((I33-J33)/I33,"")</f>
        <v/>
      </c>
      <c r="N33" s="10" t="inlineStr"/>
      <c r="O33" s="11" t="inlineStr"/>
      <c r="P33" s="12">
        <f>IFERROR(N33/O33,"")</f>
        <v/>
      </c>
      <c r="Q33" s="10" t="inlineStr"/>
      <c r="R33" s="11" t="inlineStr"/>
      <c r="S33" s="12">
        <f>IFERROR(Q33/R33,"")</f>
        <v/>
      </c>
      <c r="T33" s="13" t="inlineStr"/>
      <c r="U33" s="9" t="inlineStr"/>
      <c r="V33" s="9" t="inlineStr"/>
      <c r="W33" s="13">
        <f>IF(G33="","",IF(G33&lt;=Assumptions!$B$9,Assumptions!$C$9,IF(G33&lt;=Assumptions!$B$10,Assumptions!$C$10,IF(G33&lt;=Assumptions!$B$11,Assumptions!$C$11,Assumptions!$C$12))))</f>
        <v/>
      </c>
      <c r="X33" s="13">
        <f>IF(F33="Branded",Assumptions!$B$5,IF(OR(F33="Packaging",F33="Bags"),Assumptions!$B$4,1))</f>
        <v/>
      </c>
      <c r="Y33" s="14">
        <f>IFERROR(VLOOKUP(F33,Assumptions!$A$16:$C$20,2,FALSE),0.40)</f>
        <v/>
      </c>
      <c r="Z33" s="14">
        <f>IFERROR(VLOOKUP(F33,Assumptions!$A$16:$C$20,3,FALSE),0.30)</f>
        <v/>
      </c>
      <c r="AA33" s="12">
        <f>IF(P33&lt;&gt;"",P33*X33*W33,IF(L33&lt;&gt;"",L33/(1-Y33),K33))</f>
        <v/>
      </c>
      <c r="AB33" s="12">
        <f>IF(L33&lt;&gt;"",L33/(1-Z33),"")</f>
        <v/>
      </c>
      <c r="AC33" s="12">
        <f>IF(AB33="",AA33,MAX(AA33,AB33))</f>
        <v/>
      </c>
      <c r="AD33" s="10">
        <f>IF(AC33="","",AC33*G33)</f>
        <v/>
      </c>
      <c r="AE33" s="10">
        <f>IF(AD33="","",ROUNDUP(AD33,0)-0.01)</f>
        <v/>
      </c>
      <c r="AF33" s="9">
        <f>IF(P33&lt;&gt;"","Competitor-based",IF(L33&lt;&gt;"","Cost+margin","Needs review"))</f>
        <v/>
      </c>
    </row>
    <row r="34" ht="46" customHeight="1">
      <c r="A34" s="13" t="inlineStr">
        <is>
          <t>blank-boxes-for-7ml-jars</t>
        </is>
      </c>
      <c r="B34" s="9" t="inlineStr">
        <is>
          <t>Blank Boxes for Jars</t>
        </is>
      </c>
      <c r="C34" s="9" t="inlineStr">
        <is>
          <t>Oil Slick Blank Boxes for Jars are clean, retail-ready outer boxes for your concentrate jars, built for brands and extractors who want pro packaging without being locked into pre-printed designs. Sized to fit 5ml, 6ml, 7…</t>
        </is>
      </c>
      <c r="D34" s="9" t="inlineStr">
        <is>
          <t>Size: 7ml / Quantity: 5000 / Color: Black</t>
        </is>
      </c>
      <c r="E34" s="13" t="inlineStr">
        <is>
          <t>BOX FOR JAR 7ML 5000</t>
        </is>
      </c>
      <c r="F34" s="13" t="inlineStr">
        <is>
          <t>Packaging</t>
        </is>
      </c>
      <c r="G34" s="11" t="n">
        <v>5000</v>
      </c>
      <c r="H34" s="13" t="inlineStr">
        <is>
          <t>pcs</t>
        </is>
      </c>
      <c r="I34" s="10" t="n">
        <v>9.99</v>
      </c>
      <c r="J34" s="10" t="inlineStr"/>
      <c r="K34" s="12">
        <f>IFERROR(I34/G34,"")</f>
        <v/>
      </c>
      <c r="L34" s="12">
        <f>IFERROR(J34/G34,"")</f>
        <v/>
      </c>
      <c r="M34" s="14">
        <f>IFERROR((I34-J34)/I34,"")</f>
        <v/>
      </c>
      <c r="N34" s="10" t="inlineStr"/>
      <c r="O34" s="11" t="inlineStr"/>
      <c r="P34" s="12">
        <f>IFERROR(N34/O34,"")</f>
        <v/>
      </c>
      <c r="Q34" s="10" t="inlineStr"/>
      <c r="R34" s="11" t="inlineStr"/>
      <c r="S34" s="12">
        <f>IFERROR(Q34/R34,"")</f>
        <v/>
      </c>
      <c r="T34" s="13" t="inlineStr"/>
      <c r="U34" s="9" t="inlineStr"/>
      <c r="V34" s="9" t="inlineStr"/>
      <c r="W34" s="13">
        <f>IF(G34="","",IF(G34&lt;=Assumptions!$B$9,Assumptions!$C$9,IF(G34&lt;=Assumptions!$B$10,Assumptions!$C$10,IF(G34&lt;=Assumptions!$B$11,Assumptions!$C$11,Assumptions!$C$12))))</f>
        <v/>
      </c>
      <c r="X34" s="13">
        <f>IF(F34="Branded",Assumptions!$B$5,IF(OR(F34="Packaging",F34="Bags"),Assumptions!$B$4,1))</f>
        <v/>
      </c>
      <c r="Y34" s="14">
        <f>IFERROR(VLOOKUP(F34,Assumptions!$A$16:$C$20,2,FALSE),0.40)</f>
        <v/>
      </c>
      <c r="Z34" s="14">
        <f>IFERROR(VLOOKUP(F34,Assumptions!$A$16:$C$20,3,FALSE),0.30)</f>
        <v/>
      </c>
      <c r="AA34" s="12">
        <f>IF(P34&lt;&gt;"",P34*X34*W34,IF(L34&lt;&gt;"",L34/(1-Y34),K34))</f>
        <v/>
      </c>
      <c r="AB34" s="12">
        <f>IF(L34&lt;&gt;"",L34/(1-Z34),"")</f>
        <v/>
      </c>
      <c r="AC34" s="12">
        <f>IF(AB34="",AA34,MAX(AA34,AB34))</f>
        <v/>
      </c>
      <c r="AD34" s="10">
        <f>IF(AC34="","",AC34*G34)</f>
        <v/>
      </c>
      <c r="AE34" s="10">
        <f>IF(AD34="","",ROUNDUP(AD34,0)-0.01)</f>
        <v/>
      </c>
      <c r="AF34" s="9">
        <f>IF(P34&lt;&gt;"","Competitor-based",IF(L34&lt;&gt;"","Cost+margin","Needs review"))</f>
        <v/>
      </c>
    </row>
    <row r="35" ht="46" customHeight="1">
      <c r="A35" s="13" t="inlineStr">
        <is>
          <t>blank-boxes-for-7ml-jars</t>
        </is>
      </c>
      <c r="B35" s="9" t="inlineStr">
        <is>
          <t>Blank Boxes for Jars</t>
        </is>
      </c>
      <c r="C35" s="9" t="inlineStr">
        <is>
          <t>Oil Slick Blank Boxes for Jars are clean, retail-ready outer boxes for your concentrate jars, built for brands and extractors who want pro packaging without being locked into pre-printed designs. Sized to fit 5ml, 6ml, 7…</t>
        </is>
      </c>
      <c r="D35" s="9" t="inlineStr">
        <is>
          <t>Size: 7ml / Quantity: 5000 / Color: White</t>
        </is>
      </c>
      <c r="E35" s="13" t="inlineStr">
        <is>
          <t>BOX FOR JAR 7ML 5000</t>
        </is>
      </c>
      <c r="F35" s="13" t="inlineStr">
        <is>
          <t>Packaging</t>
        </is>
      </c>
      <c r="G35" s="11" t="n">
        <v>5000</v>
      </c>
      <c r="H35" s="13" t="inlineStr">
        <is>
          <t>pcs</t>
        </is>
      </c>
      <c r="I35" s="10" t="n">
        <v>19.99</v>
      </c>
      <c r="J35" s="10" t="inlineStr"/>
      <c r="K35" s="12">
        <f>IFERROR(I35/G35,"")</f>
        <v/>
      </c>
      <c r="L35" s="12">
        <f>IFERROR(J35/G35,"")</f>
        <v/>
      </c>
      <c r="M35" s="14">
        <f>IFERROR((I35-J35)/I35,"")</f>
        <v/>
      </c>
      <c r="N35" s="10" t="inlineStr"/>
      <c r="O35" s="11" t="inlineStr"/>
      <c r="P35" s="12">
        <f>IFERROR(N35/O35,"")</f>
        <v/>
      </c>
      <c r="Q35" s="10" t="inlineStr"/>
      <c r="R35" s="11" t="inlineStr"/>
      <c r="S35" s="12">
        <f>IFERROR(Q35/R35,"")</f>
        <v/>
      </c>
      <c r="T35" s="13" t="inlineStr"/>
      <c r="U35" s="9" t="inlineStr"/>
      <c r="V35" s="9" t="inlineStr"/>
      <c r="W35" s="13">
        <f>IF(G35="","",IF(G35&lt;=Assumptions!$B$9,Assumptions!$C$9,IF(G35&lt;=Assumptions!$B$10,Assumptions!$C$10,IF(G35&lt;=Assumptions!$B$11,Assumptions!$C$11,Assumptions!$C$12))))</f>
        <v/>
      </c>
      <c r="X35" s="13">
        <f>IF(F35="Branded",Assumptions!$B$5,IF(OR(F35="Packaging",F35="Bags"),Assumptions!$B$4,1))</f>
        <v/>
      </c>
      <c r="Y35" s="14">
        <f>IFERROR(VLOOKUP(F35,Assumptions!$A$16:$C$20,2,FALSE),0.40)</f>
        <v/>
      </c>
      <c r="Z35" s="14">
        <f>IFERROR(VLOOKUP(F35,Assumptions!$A$16:$C$20,3,FALSE),0.30)</f>
        <v/>
      </c>
      <c r="AA35" s="12">
        <f>IF(P35&lt;&gt;"",P35*X35*W35,IF(L35&lt;&gt;"",L35/(1-Y35),K35))</f>
        <v/>
      </c>
      <c r="AB35" s="12">
        <f>IF(L35&lt;&gt;"",L35/(1-Z35),"")</f>
        <v/>
      </c>
      <c r="AC35" s="12">
        <f>IF(AB35="",AA35,MAX(AA35,AB35))</f>
        <v/>
      </c>
      <c r="AD35" s="10">
        <f>IF(AC35="","",AC35*G35)</f>
        <v/>
      </c>
      <c r="AE35" s="10">
        <f>IF(AD35="","",ROUNDUP(AD35,0)-0.01)</f>
        <v/>
      </c>
      <c r="AF35" s="9">
        <f>IF(P35&lt;&gt;"","Competitor-based",IF(L35&lt;&gt;"","Cost+margin","Needs review"))</f>
        <v/>
      </c>
    </row>
    <row r="36" ht="46" customHeight="1">
      <c r="A36" s="13" t="inlineStr">
        <is>
          <t>blank-boxes-for-7ml-jars</t>
        </is>
      </c>
      <c r="B36" s="9" t="inlineStr">
        <is>
          <t>Blank Boxes for Jars</t>
        </is>
      </c>
      <c r="C36" s="9" t="inlineStr">
        <is>
          <t>Oil Slick Blank Boxes for Jars are clean, retail-ready outer boxes for your concentrate jars, built for brands and extractors who want pro packaging without being locked into pre-printed designs. Sized to fit 5ml, 6ml, 7…</t>
        </is>
      </c>
      <c r="D36" s="9" t="inlineStr">
        <is>
          <t>Size: 9ml / Quantity: 5000 / Color: Black</t>
        </is>
      </c>
      <c r="E36" s="13" t="inlineStr">
        <is>
          <t>BOX FOR JAR 9ML 5000</t>
        </is>
      </c>
      <c r="F36" s="13" t="inlineStr">
        <is>
          <t>Packaging</t>
        </is>
      </c>
      <c r="G36" s="11" t="n">
        <v>5000</v>
      </c>
      <c r="H36" s="13" t="inlineStr">
        <is>
          <t>pcs</t>
        </is>
      </c>
      <c r="I36" s="10" t="n">
        <v>14.99</v>
      </c>
      <c r="J36" s="10" t="n">
        <v>2461</v>
      </c>
      <c r="K36" s="12">
        <f>IFERROR(I36/G36,"")</f>
        <v/>
      </c>
      <c r="L36" s="12">
        <f>IFERROR(J36/G36,"")</f>
        <v/>
      </c>
      <c r="M36" s="14">
        <f>IFERROR((I36-J36)/I36,"")</f>
        <v/>
      </c>
      <c r="N36" s="10" t="inlineStr"/>
      <c r="O36" s="11" t="inlineStr"/>
      <c r="P36" s="12">
        <f>IFERROR(N36/O36,"")</f>
        <v/>
      </c>
      <c r="Q36" s="10" t="inlineStr"/>
      <c r="R36" s="11" t="inlineStr"/>
      <c r="S36" s="12">
        <f>IFERROR(Q36/R36,"")</f>
        <v/>
      </c>
      <c r="T36" s="13" t="inlineStr"/>
      <c r="U36" s="9" t="inlineStr"/>
      <c r="V36" s="9" t="inlineStr"/>
      <c r="W36" s="13">
        <f>IF(G36="","",IF(G36&lt;=Assumptions!$B$9,Assumptions!$C$9,IF(G36&lt;=Assumptions!$B$10,Assumptions!$C$10,IF(G36&lt;=Assumptions!$B$11,Assumptions!$C$11,Assumptions!$C$12))))</f>
        <v/>
      </c>
      <c r="X36" s="13">
        <f>IF(F36="Branded",Assumptions!$B$5,IF(OR(F36="Packaging",F36="Bags"),Assumptions!$B$4,1))</f>
        <v/>
      </c>
      <c r="Y36" s="14">
        <f>IFERROR(VLOOKUP(F36,Assumptions!$A$16:$C$20,2,FALSE),0.40)</f>
        <v/>
      </c>
      <c r="Z36" s="14">
        <f>IFERROR(VLOOKUP(F36,Assumptions!$A$16:$C$20,3,FALSE),0.30)</f>
        <v/>
      </c>
      <c r="AA36" s="12">
        <f>IF(P36&lt;&gt;"",P36*X36*W36,IF(L36&lt;&gt;"",L36/(1-Y36),K36))</f>
        <v/>
      </c>
      <c r="AB36" s="12">
        <f>IF(L36&lt;&gt;"",L36/(1-Z36),"")</f>
        <v/>
      </c>
      <c r="AC36" s="12">
        <f>IF(AB36="",AA36,MAX(AA36,AB36))</f>
        <v/>
      </c>
      <c r="AD36" s="10">
        <f>IF(AC36="","",AC36*G36)</f>
        <v/>
      </c>
      <c r="AE36" s="10">
        <f>IF(AD36="","",ROUNDUP(AD36,0)-0.01)</f>
        <v/>
      </c>
      <c r="AF36" s="9">
        <f>IF(P36&lt;&gt;"","Competitor-based",IF(L36&lt;&gt;"","Cost+margin","Needs review"))</f>
        <v/>
      </c>
    </row>
    <row r="37" ht="46" customHeight="1">
      <c r="A37" s="13" t="inlineStr">
        <is>
          <t>blank-boxes-for-7ml-jars</t>
        </is>
      </c>
      <c r="B37" s="9" t="inlineStr">
        <is>
          <t>Blank Boxes for Jars</t>
        </is>
      </c>
      <c r="C37" s="9" t="inlineStr">
        <is>
          <t>Oil Slick Blank Boxes for Jars are clean, retail-ready outer boxes for your concentrate jars, built for brands and extractors who want pro packaging without being locked into pre-printed designs. Sized to fit 5ml, 6ml, 7…</t>
        </is>
      </c>
      <c r="D37" s="9" t="inlineStr">
        <is>
          <t>Size: 9ml / Quantity: 5000 / Color: White</t>
        </is>
      </c>
      <c r="E37" s="13" t="inlineStr">
        <is>
          <t>BOX FOR JAR 9ML 5000</t>
        </is>
      </c>
      <c r="F37" s="13" t="inlineStr">
        <is>
          <t>Packaging</t>
        </is>
      </c>
      <c r="G37" s="11" t="n">
        <v>5000</v>
      </c>
      <c r="H37" s="13" t="inlineStr">
        <is>
          <t>pcs</t>
        </is>
      </c>
      <c r="I37" s="10" t="n">
        <v>9.99</v>
      </c>
      <c r="J37" s="10" t="n">
        <v>2256</v>
      </c>
      <c r="K37" s="12">
        <f>IFERROR(I37/G37,"")</f>
        <v/>
      </c>
      <c r="L37" s="12">
        <f>IFERROR(J37/G37,"")</f>
        <v/>
      </c>
      <c r="M37" s="14">
        <f>IFERROR((I37-J37)/I37,"")</f>
        <v/>
      </c>
      <c r="N37" s="10" t="inlineStr"/>
      <c r="O37" s="11" t="inlineStr"/>
      <c r="P37" s="12">
        <f>IFERROR(N37/O37,"")</f>
        <v/>
      </c>
      <c r="Q37" s="10" t="inlineStr"/>
      <c r="R37" s="11" t="inlineStr"/>
      <c r="S37" s="12">
        <f>IFERROR(Q37/R37,"")</f>
        <v/>
      </c>
      <c r="T37" s="13" t="inlineStr"/>
      <c r="U37" s="9" t="inlineStr"/>
      <c r="V37" s="9" t="inlineStr"/>
      <c r="W37" s="13">
        <f>IF(G37="","",IF(G37&lt;=Assumptions!$B$9,Assumptions!$C$9,IF(G37&lt;=Assumptions!$B$10,Assumptions!$C$10,IF(G37&lt;=Assumptions!$B$11,Assumptions!$C$11,Assumptions!$C$12))))</f>
        <v/>
      </c>
      <c r="X37" s="13">
        <f>IF(F37="Branded",Assumptions!$B$5,IF(OR(F37="Packaging",F37="Bags"),Assumptions!$B$4,1))</f>
        <v/>
      </c>
      <c r="Y37" s="14">
        <f>IFERROR(VLOOKUP(F37,Assumptions!$A$16:$C$20,2,FALSE),0.40)</f>
        <v/>
      </c>
      <c r="Z37" s="14">
        <f>IFERROR(VLOOKUP(F37,Assumptions!$A$16:$C$20,3,FALSE),0.30)</f>
        <v/>
      </c>
      <c r="AA37" s="12">
        <f>IF(P37&lt;&gt;"",P37*X37*W37,IF(L37&lt;&gt;"",L37/(1-Y37),K37))</f>
        <v/>
      </c>
      <c r="AB37" s="12">
        <f>IF(L37&lt;&gt;"",L37/(1-Z37),"")</f>
        <v/>
      </c>
      <c r="AC37" s="12">
        <f>IF(AB37="",AA37,MAX(AA37,AB37))</f>
        <v/>
      </c>
      <c r="AD37" s="10">
        <f>IF(AC37="","",AC37*G37)</f>
        <v/>
      </c>
      <c r="AE37" s="10">
        <f>IF(AD37="","",ROUNDUP(AD37,0)-0.01)</f>
        <v/>
      </c>
      <c r="AF37" s="9">
        <f>IF(P37&lt;&gt;"","Competitor-based",IF(L37&lt;&gt;"","Cost+margin","Needs review"))</f>
        <v/>
      </c>
    </row>
    <row r="38" ht="46" customHeight="1">
      <c r="A38" s="13" t="inlineStr">
        <is>
          <t>blank-boxes-for-7ml-jars</t>
        </is>
      </c>
      <c r="B38" s="9" t="inlineStr">
        <is>
          <t>Blank Boxes for Jars</t>
        </is>
      </c>
      <c r="C38" s="9" t="inlineStr">
        <is>
          <t>Oil Slick Blank Boxes for Jars are clean, retail-ready outer boxes for your concentrate jars, built for brands and extractors who want pro packaging without being locked into pre-printed designs. Sized to fit 5ml, 6ml, 7…</t>
        </is>
      </c>
      <c r="D38" s="9" t="inlineStr">
        <is>
          <t>Size: 5ml / Quantity: 10000 / Color: Black</t>
        </is>
      </c>
      <c r="E38" s="13" t="inlineStr">
        <is>
          <t>BOX FOR JAR 5ML 10000</t>
        </is>
      </c>
      <c r="F38" s="13" t="inlineStr">
        <is>
          <t>Packaging</t>
        </is>
      </c>
      <c r="G38" s="11" t="n">
        <v>10000</v>
      </c>
      <c r="H38" s="13" t="inlineStr">
        <is>
          <t>pcs</t>
        </is>
      </c>
      <c r="I38" s="10" t="n">
        <v>9.99</v>
      </c>
      <c r="J38" s="10" t="inlineStr"/>
      <c r="K38" s="12">
        <f>IFERROR(I38/G38,"")</f>
        <v/>
      </c>
      <c r="L38" s="12">
        <f>IFERROR(J38/G38,"")</f>
        <v/>
      </c>
      <c r="M38" s="14">
        <f>IFERROR((I38-J38)/I38,"")</f>
        <v/>
      </c>
      <c r="N38" s="10" t="inlineStr"/>
      <c r="O38" s="11" t="inlineStr"/>
      <c r="P38" s="12">
        <f>IFERROR(N38/O38,"")</f>
        <v/>
      </c>
      <c r="Q38" s="10" t="inlineStr"/>
      <c r="R38" s="11" t="inlineStr"/>
      <c r="S38" s="12">
        <f>IFERROR(Q38/R38,"")</f>
        <v/>
      </c>
      <c r="T38" s="13" t="inlineStr"/>
      <c r="U38" s="9" t="inlineStr"/>
      <c r="V38" s="9" t="inlineStr"/>
      <c r="W38" s="13">
        <f>IF(G38="","",IF(G38&lt;=Assumptions!$B$9,Assumptions!$C$9,IF(G38&lt;=Assumptions!$B$10,Assumptions!$C$10,IF(G38&lt;=Assumptions!$B$11,Assumptions!$C$11,Assumptions!$C$12))))</f>
        <v/>
      </c>
      <c r="X38" s="13">
        <f>IF(F38="Branded",Assumptions!$B$5,IF(OR(F38="Packaging",F38="Bags"),Assumptions!$B$4,1))</f>
        <v/>
      </c>
      <c r="Y38" s="14">
        <f>IFERROR(VLOOKUP(F38,Assumptions!$A$16:$C$20,2,FALSE),0.40)</f>
        <v/>
      </c>
      <c r="Z38" s="14">
        <f>IFERROR(VLOOKUP(F38,Assumptions!$A$16:$C$20,3,FALSE),0.30)</f>
        <v/>
      </c>
      <c r="AA38" s="12">
        <f>IF(P38&lt;&gt;"",P38*X38*W38,IF(L38&lt;&gt;"",L38/(1-Y38),K38))</f>
        <v/>
      </c>
      <c r="AB38" s="12">
        <f>IF(L38&lt;&gt;"",L38/(1-Z38),"")</f>
        <v/>
      </c>
      <c r="AC38" s="12">
        <f>IF(AB38="",AA38,MAX(AA38,AB38))</f>
        <v/>
      </c>
      <c r="AD38" s="10">
        <f>IF(AC38="","",AC38*G38)</f>
        <v/>
      </c>
      <c r="AE38" s="10">
        <f>IF(AD38="","",ROUNDUP(AD38,0)-0.01)</f>
        <v/>
      </c>
      <c r="AF38" s="9">
        <f>IF(P38&lt;&gt;"","Competitor-based",IF(L38&lt;&gt;"","Cost+margin","Needs review"))</f>
        <v/>
      </c>
    </row>
    <row r="39" ht="46" customHeight="1">
      <c r="A39" s="13" t="inlineStr">
        <is>
          <t>blank-boxes-for-7ml-jars</t>
        </is>
      </c>
      <c r="B39" s="9" t="inlineStr">
        <is>
          <t>Blank Boxes for Jars</t>
        </is>
      </c>
      <c r="C39" s="9" t="inlineStr">
        <is>
          <t>Oil Slick Blank Boxes for Jars are clean, retail-ready outer boxes for your concentrate jars, built for brands and extractors who want pro packaging without being locked into pre-printed designs. Sized to fit 5ml, 6ml, 7…</t>
        </is>
      </c>
      <c r="D39" s="9" t="inlineStr">
        <is>
          <t>Size: 5ml / Quantity: 10000 / Color: White</t>
        </is>
      </c>
      <c r="E39" s="13" t="inlineStr">
        <is>
          <t>BOX FOR JAR 5ML 10000</t>
        </is>
      </c>
      <c r="F39" s="13" t="inlineStr">
        <is>
          <t>Packaging</t>
        </is>
      </c>
      <c r="G39" s="11" t="n">
        <v>10000</v>
      </c>
      <c r="H39" s="13" t="inlineStr">
        <is>
          <t>pcs</t>
        </is>
      </c>
      <c r="I39" s="10" t="n">
        <v>10.99</v>
      </c>
      <c r="J39" s="10" t="inlineStr"/>
      <c r="K39" s="12">
        <f>IFERROR(I39/G39,"")</f>
        <v/>
      </c>
      <c r="L39" s="12">
        <f>IFERROR(J39/G39,"")</f>
        <v/>
      </c>
      <c r="M39" s="14">
        <f>IFERROR((I39-J39)/I39,"")</f>
        <v/>
      </c>
      <c r="N39" s="10" t="inlineStr"/>
      <c r="O39" s="11" t="inlineStr"/>
      <c r="P39" s="12">
        <f>IFERROR(N39/O39,"")</f>
        <v/>
      </c>
      <c r="Q39" s="10" t="inlineStr"/>
      <c r="R39" s="11" t="inlineStr"/>
      <c r="S39" s="12">
        <f>IFERROR(Q39/R39,"")</f>
        <v/>
      </c>
      <c r="T39" s="13" t="inlineStr"/>
      <c r="U39" s="9" t="inlineStr"/>
      <c r="V39" s="9" t="inlineStr"/>
      <c r="W39" s="13">
        <f>IF(G39="","",IF(G39&lt;=Assumptions!$B$9,Assumptions!$C$9,IF(G39&lt;=Assumptions!$B$10,Assumptions!$C$10,IF(G39&lt;=Assumptions!$B$11,Assumptions!$C$11,Assumptions!$C$12))))</f>
        <v/>
      </c>
      <c r="X39" s="13">
        <f>IF(F39="Branded",Assumptions!$B$5,IF(OR(F39="Packaging",F39="Bags"),Assumptions!$B$4,1))</f>
        <v/>
      </c>
      <c r="Y39" s="14">
        <f>IFERROR(VLOOKUP(F39,Assumptions!$A$16:$C$20,2,FALSE),0.40)</f>
        <v/>
      </c>
      <c r="Z39" s="14">
        <f>IFERROR(VLOOKUP(F39,Assumptions!$A$16:$C$20,3,FALSE),0.30)</f>
        <v/>
      </c>
      <c r="AA39" s="12">
        <f>IF(P39&lt;&gt;"",P39*X39*W39,IF(L39&lt;&gt;"",L39/(1-Y39),K39))</f>
        <v/>
      </c>
      <c r="AB39" s="12">
        <f>IF(L39&lt;&gt;"",L39/(1-Z39),"")</f>
        <v/>
      </c>
      <c r="AC39" s="12">
        <f>IF(AB39="",AA39,MAX(AA39,AB39))</f>
        <v/>
      </c>
      <c r="AD39" s="10">
        <f>IF(AC39="","",AC39*G39)</f>
        <v/>
      </c>
      <c r="AE39" s="10">
        <f>IF(AD39="","",ROUNDUP(AD39,0)-0.01)</f>
        <v/>
      </c>
      <c r="AF39" s="9">
        <f>IF(P39&lt;&gt;"","Competitor-based",IF(L39&lt;&gt;"","Cost+margin","Needs review"))</f>
        <v/>
      </c>
    </row>
    <row r="40" ht="46" customHeight="1">
      <c r="A40" s="13" t="inlineStr">
        <is>
          <t>blank-boxes-for-7ml-jars</t>
        </is>
      </c>
      <c r="B40" s="9" t="inlineStr">
        <is>
          <t>Blank Boxes for Jars</t>
        </is>
      </c>
      <c r="C40" s="9" t="inlineStr">
        <is>
          <t>Oil Slick Blank Boxes for Jars are clean, retail-ready outer boxes for your concentrate jars, built for brands and extractors who want pro packaging without being locked into pre-printed designs. Sized to fit 5ml, 6ml, 7…</t>
        </is>
      </c>
      <c r="D40" s="9" t="inlineStr">
        <is>
          <t>Size: 6ml / Quantity: 10000 / Color: White</t>
        </is>
      </c>
      <c r="E40" s="13" t="inlineStr">
        <is>
          <t>BOX FOR JAR 6ML 10000</t>
        </is>
      </c>
      <c r="F40" s="13" t="inlineStr">
        <is>
          <t>Packaging</t>
        </is>
      </c>
      <c r="G40" s="11" t="n">
        <v>10000</v>
      </c>
      <c r="H40" s="13" t="inlineStr">
        <is>
          <t>pcs</t>
        </is>
      </c>
      <c r="I40" s="10" t="n">
        <v>29.99</v>
      </c>
      <c r="J40" s="10" t="inlineStr"/>
      <c r="K40" s="12">
        <f>IFERROR(I40/G40,"")</f>
        <v/>
      </c>
      <c r="L40" s="12">
        <f>IFERROR(J40/G40,"")</f>
        <v/>
      </c>
      <c r="M40" s="14">
        <f>IFERROR((I40-J40)/I40,"")</f>
        <v/>
      </c>
      <c r="N40" s="10" t="inlineStr"/>
      <c r="O40" s="11" t="inlineStr"/>
      <c r="P40" s="12">
        <f>IFERROR(N40/O40,"")</f>
        <v/>
      </c>
      <c r="Q40" s="10" t="inlineStr"/>
      <c r="R40" s="11" t="inlineStr"/>
      <c r="S40" s="12">
        <f>IFERROR(Q40/R40,"")</f>
        <v/>
      </c>
      <c r="T40" s="13" t="inlineStr"/>
      <c r="U40" s="9" t="inlineStr"/>
      <c r="V40" s="9" t="inlineStr"/>
      <c r="W40" s="13">
        <f>IF(G40="","",IF(G40&lt;=Assumptions!$B$9,Assumptions!$C$9,IF(G40&lt;=Assumptions!$B$10,Assumptions!$C$10,IF(G40&lt;=Assumptions!$B$11,Assumptions!$C$11,Assumptions!$C$12))))</f>
        <v/>
      </c>
      <c r="X40" s="13">
        <f>IF(F40="Branded",Assumptions!$B$5,IF(OR(F40="Packaging",F40="Bags"),Assumptions!$B$4,1))</f>
        <v/>
      </c>
      <c r="Y40" s="14">
        <f>IFERROR(VLOOKUP(F40,Assumptions!$A$16:$C$20,2,FALSE),0.40)</f>
        <v/>
      </c>
      <c r="Z40" s="14">
        <f>IFERROR(VLOOKUP(F40,Assumptions!$A$16:$C$20,3,FALSE),0.30)</f>
        <v/>
      </c>
      <c r="AA40" s="12">
        <f>IF(P40&lt;&gt;"",P40*X40*W40,IF(L40&lt;&gt;"",L40/(1-Y40),K40))</f>
        <v/>
      </c>
      <c r="AB40" s="12">
        <f>IF(L40&lt;&gt;"",L40/(1-Z40),"")</f>
        <v/>
      </c>
      <c r="AC40" s="12">
        <f>IF(AB40="",AA40,MAX(AA40,AB40))</f>
        <v/>
      </c>
      <c r="AD40" s="10">
        <f>IF(AC40="","",AC40*G40)</f>
        <v/>
      </c>
      <c r="AE40" s="10">
        <f>IF(AD40="","",ROUNDUP(AD40,0)-0.01)</f>
        <v/>
      </c>
      <c r="AF40" s="9">
        <f>IF(P40&lt;&gt;"","Competitor-based",IF(L40&lt;&gt;"","Cost+margin","Needs review"))</f>
        <v/>
      </c>
    </row>
    <row r="41" ht="46" customHeight="1">
      <c r="A41" s="13" t="inlineStr">
        <is>
          <t>blank-boxes-for-7ml-jars</t>
        </is>
      </c>
      <c r="B41" s="9" t="inlineStr">
        <is>
          <t>Blank Boxes for Jars</t>
        </is>
      </c>
      <c r="C41" s="9" t="inlineStr">
        <is>
          <t>Oil Slick Blank Boxes for Jars are clean, retail-ready outer boxes for your concentrate jars, built for brands and extractors who want pro packaging without being locked into pre-printed designs. Sized to fit 5ml, 6ml, 7…</t>
        </is>
      </c>
      <c r="D41" s="9" t="inlineStr">
        <is>
          <t>Size: 9ml / Quantity: 1000 / Color: White</t>
        </is>
      </c>
      <c r="E41" s="13" t="inlineStr">
        <is>
          <t>BOX FOR JAR 9ML 1000</t>
        </is>
      </c>
      <c r="F41" s="13" t="inlineStr">
        <is>
          <t>Packaging</t>
        </is>
      </c>
      <c r="G41" s="11" t="n">
        <v>1000</v>
      </c>
      <c r="H41" s="13" t="inlineStr">
        <is>
          <t>pcs</t>
        </is>
      </c>
      <c r="I41" s="10" t="n">
        <v>19.99</v>
      </c>
      <c r="J41" s="10" t="n">
        <v>570</v>
      </c>
      <c r="K41" s="12">
        <f>IFERROR(I41/G41,"")</f>
        <v/>
      </c>
      <c r="L41" s="12">
        <f>IFERROR(J41/G41,"")</f>
        <v/>
      </c>
      <c r="M41" s="14">
        <f>IFERROR((I41-J41)/I41,"")</f>
        <v/>
      </c>
      <c r="N41" s="10" t="inlineStr"/>
      <c r="O41" s="11" t="inlineStr"/>
      <c r="P41" s="12">
        <f>IFERROR(N41/O41,"")</f>
        <v/>
      </c>
      <c r="Q41" s="10" t="inlineStr"/>
      <c r="R41" s="11" t="inlineStr"/>
      <c r="S41" s="12">
        <f>IFERROR(Q41/R41,"")</f>
        <v/>
      </c>
      <c r="T41" s="13" t="inlineStr"/>
      <c r="U41" s="9" t="inlineStr"/>
      <c r="V41" s="9" t="inlineStr"/>
      <c r="W41" s="13">
        <f>IF(G41="","",IF(G41&lt;=Assumptions!$B$9,Assumptions!$C$9,IF(G41&lt;=Assumptions!$B$10,Assumptions!$C$10,IF(G41&lt;=Assumptions!$B$11,Assumptions!$C$11,Assumptions!$C$12))))</f>
        <v/>
      </c>
      <c r="X41" s="13">
        <f>IF(F41="Branded",Assumptions!$B$5,IF(OR(F41="Packaging",F41="Bags"),Assumptions!$B$4,1))</f>
        <v/>
      </c>
      <c r="Y41" s="14">
        <f>IFERROR(VLOOKUP(F41,Assumptions!$A$16:$C$20,2,FALSE),0.40)</f>
        <v/>
      </c>
      <c r="Z41" s="14">
        <f>IFERROR(VLOOKUP(F41,Assumptions!$A$16:$C$20,3,FALSE),0.30)</f>
        <v/>
      </c>
      <c r="AA41" s="12">
        <f>IF(P41&lt;&gt;"",P41*X41*W41,IF(L41&lt;&gt;"",L41/(1-Y41),K41))</f>
        <v/>
      </c>
      <c r="AB41" s="12">
        <f>IF(L41&lt;&gt;"",L41/(1-Z41),"")</f>
        <v/>
      </c>
      <c r="AC41" s="12">
        <f>IF(AB41="",AA41,MAX(AA41,AB41))</f>
        <v/>
      </c>
      <c r="AD41" s="10">
        <f>IF(AC41="","",AC41*G41)</f>
        <v/>
      </c>
      <c r="AE41" s="10">
        <f>IF(AD41="","",ROUNDUP(AD41,0)-0.01)</f>
        <v/>
      </c>
      <c r="AF41" s="9">
        <f>IF(P41&lt;&gt;"","Competitor-based",IF(L41&lt;&gt;"","Cost+margin","Needs review"))</f>
        <v/>
      </c>
    </row>
    <row r="42" ht="46" customHeight="1">
      <c r="A42" s="13" t="inlineStr">
        <is>
          <t>blank-boxes-for-7ml-jars</t>
        </is>
      </c>
      <c r="B42" s="9" t="inlineStr">
        <is>
          <t>Blank Boxes for Jars</t>
        </is>
      </c>
      <c r="C42" s="9" t="inlineStr">
        <is>
          <t>Oil Slick Blank Boxes for Jars are clean, retail-ready outer boxes for your concentrate jars, built for brands and extractors who want pro packaging without being locked into pre-printed designs. Sized to fit 5ml, 6ml, 7…</t>
        </is>
      </c>
      <c r="D42" s="9" t="inlineStr">
        <is>
          <t>Size: 7ml / Quantity: 10000 / Color: Black</t>
        </is>
      </c>
      <c r="E42" s="13" t="inlineStr">
        <is>
          <t>BOX FOR JAR 7ML 10000</t>
        </is>
      </c>
      <c r="F42" s="13" t="inlineStr">
        <is>
          <t>Packaging</t>
        </is>
      </c>
      <c r="G42" s="11" t="n">
        <v>10000</v>
      </c>
      <c r="H42" s="13" t="inlineStr">
        <is>
          <t>pcs</t>
        </is>
      </c>
      <c r="I42" s="10" t="n">
        <v>49.99</v>
      </c>
      <c r="J42" s="10" t="n">
        <v>4004</v>
      </c>
      <c r="K42" s="12">
        <f>IFERROR(I42/G42,"")</f>
        <v/>
      </c>
      <c r="L42" s="12">
        <f>IFERROR(J42/G42,"")</f>
        <v/>
      </c>
      <c r="M42" s="14">
        <f>IFERROR((I42-J42)/I42,"")</f>
        <v/>
      </c>
      <c r="N42" s="10" t="inlineStr"/>
      <c r="O42" s="11" t="inlineStr"/>
      <c r="P42" s="12">
        <f>IFERROR(N42/O42,"")</f>
        <v/>
      </c>
      <c r="Q42" s="10" t="inlineStr"/>
      <c r="R42" s="11" t="inlineStr"/>
      <c r="S42" s="12">
        <f>IFERROR(Q42/R42,"")</f>
        <v/>
      </c>
      <c r="T42" s="13" t="inlineStr"/>
      <c r="U42" s="9" t="inlineStr"/>
      <c r="V42" s="9" t="inlineStr"/>
      <c r="W42" s="13">
        <f>IF(G42="","",IF(G42&lt;=Assumptions!$B$9,Assumptions!$C$9,IF(G42&lt;=Assumptions!$B$10,Assumptions!$C$10,IF(G42&lt;=Assumptions!$B$11,Assumptions!$C$11,Assumptions!$C$12))))</f>
        <v/>
      </c>
      <c r="X42" s="13">
        <f>IF(F42="Branded",Assumptions!$B$5,IF(OR(F42="Packaging",F42="Bags"),Assumptions!$B$4,1))</f>
        <v/>
      </c>
      <c r="Y42" s="14">
        <f>IFERROR(VLOOKUP(F42,Assumptions!$A$16:$C$20,2,FALSE),0.40)</f>
        <v/>
      </c>
      <c r="Z42" s="14">
        <f>IFERROR(VLOOKUP(F42,Assumptions!$A$16:$C$20,3,FALSE),0.30)</f>
        <v/>
      </c>
      <c r="AA42" s="12">
        <f>IF(P42&lt;&gt;"",P42*X42*W42,IF(L42&lt;&gt;"",L42/(1-Y42),K42))</f>
        <v/>
      </c>
      <c r="AB42" s="12">
        <f>IF(L42&lt;&gt;"",L42/(1-Z42),"")</f>
        <v/>
      </c>
      <c r="AC42" s="12">
        <f>IF(AB42="",AA42,MAX(AA42,AB42))</f>
        <v/>
      </c>
      <c r="AD42" s="10">
        <f>IF(AC42="","",AC42*G42)</f>
        <v/>
      </c>
      <c r="AE42" s="10">
        <f>IF(AD42="","",ROUNDUP(AD42,0)-0.01)</f>
        <v/>
      </c>
      <c r="AF42" s="9">
        <f>IF(P42&lt;&gt;"","Competitor-based",IF(L42&lt;&gt;"","Cost+margin","Needs review"))</f>
        <v/>
      </c>
    </row>
    <row r="43" ht="46" customHeight="1">
      <c r="A43" s="13" t="inlineStr">
        <is>
          <t>blank-boxes-for-7ml-jars</t>
        </is>
      </c>
      <c r="B43" s="9" t="inlineStr">
        <is>
          <t>Blank Boxes for Jars</t>
        </is>
      </c>
      <c r="C43" s="9" t="inlineStr">
        <is>
          <t>Oil Slick Blank Boxes for Jars are clean, retail-ready outer boxes for your concentrate jars, built for brands and extractors who want pro packaging without being locked into pre-printed designs. Sized to fit 5ml, 6ml, 7…</t>
        </is>
      </c>
      <c r="D43" s="9" t="inlineStr">
        <is>
          <t>Size: 7ml / Quantity: 10000 / Color: White</t>
        </is>
      </c>
      <c r="E43" s="13" t="inlineStr">
        <is>
          <t>BOX FOR JAR 7ML 10000</t>
        </is>
      </c>
      <c r="F43" s="13" t="inlineStr">
        <is>
          <t>Packaging</t>
        </is>
      </c>
      <c r="G43" s="11" t="n">
        <v>10000</v>
      </c>
      <c r="H43" s="13" t="inlineStr">
        <is>
          <t>pcs</t>
        </is>
      </c>
      <c r="I43" s="10" t="n">
        <v>49.99</v>
      </c>
      <c r="J43" s="10" t="inlineStr"/>
      <c r="K43" s="12">
        <f>IFERROR(I43/G43,"")</f>
        <v/>
      </c>
      <c r="L43" s="12">
        <f>IFERROR(J43/G43,"")</f>
        <v/>
      </c>
      <c r="M43" s="14">
        <f>IFERROR((I43-J43)/I43,"")</f>
        <v/>
      </c>
      <c r="N43" s="10" t="inlineStr"/>
      <c r="O43" s="11" t="inlineStr"/>
      <c r="P43" s="12">
        <f>IFERROR(N43/O43,"")</f>
        <v/>
      </c>
      <c r="Q43" s="10" t="inlineStr"/>
      <c r="R43" s="11" t="inlineStr"/>
      <c r="S43" s="12">
        <f>IFERROR(Q43/R43,"")</f>
        <v/>
      </c>
      <c r="T43" s="13" t="inlineStr"/>
      <c r="U43" s="9" t="inlineStr"/>
      <c r="V43" s="9" t="inlineStr"/>
      <c r="W43" s="13">
        <f>IF(G43="","",IF(G43&lt;=Assumptions!$B$9,Assumptions!$C$9,IF(G43&lt;=Assumptions!$B$10,Assumptions!$C$10,IF(G43&lt;=Assumptions!$B$11,Assumptions!$C$11,Assumptions!$C$12))))</f>
        <v/>
      </c>
      <c r="X43" s="13">
        <f>IF(F43="Branded",Assumptions!$B$5,IF(OR(F43="Packaging",F43="Bags"),Assumptions!$B$4,1))</f>
        <v/>
      </c>
      <c r="Y43" s="14">
        <f>IFERROR(VLOOKUP(F43,Assumptions!$A$16:$C$20,2,FALSE),0.40)</f>
        <v/>
      </c>
      <c r="Z43" s="14">
        <f>IFERROR(VLOOKUP(F43,Assumptions!$A$16:$C$20,3,FALSE),0.30)</f>
        <v/>
      </c>
      <c r="AA43" s="12">
        <f>IF(P43&lt;&gt;"",P43*X43*W43,IF(L43&lt;&gt;"",L43/(1-Y43),K43))</f>
        <v/>
      </c>
      <c r="AB43" s="12">
        <f>IF(L43&lt;&gt;"",L43/(1-Z43),"")</f>
        <v/>
      </c>
      <c r="AC43" s="12">
        <f>IF(AB43="",AA43,MAX(AA43,AB43))</f>
        <v/>
      </c>
      <c r="AD43" s="10">
        <f>IF(AC43="","",AC43*G43)</f>
        <v/>
      </c>
      <c r="AE43" s="10">
        <f>IF(AD43="","",ROUNDUP(AD43,0)-0.01)</f>
        <v/>
      </c>
      <c r="AF43" s="9">
        <f>IF(P43&lt;&gt;"","Competitor-based",IF(L43&lt;&gt;"","Cost+margin","Needs review"))</f>
        <v/>
      </c>
    </row>
    <row r="44" ht="46" customHeight="1">
      <c r="A44" s="13" t="inlineStr">
        <is>
          <t>blank-boxes-for-7ml-jars</t>
        </is>
      </c>
      <c r="B44" s="9" t="inlineStr">
        <is>
          <t>Blank Boxes for Jars</t>
        </is>
      </c>
      <c r="C44" s="9" t="inlineStr">
        <is>
          <t>Oil Slick Blank Boxes for Jars are clean, retail-ready outer boxes for your concentrate jars, built for brands and extractors who want pro packaging without being locked into pre-printed designs. Sized to fit 5ml, 6ml, 7…</t>
        </is>
      </c>
      <c r="D44" s="9" t="inlineStr">
        <is>
          <t>Size: 9ml / Quantity: 10000 / Color: Black</t>
        </is>
      </c>
      <c r="E44" s="13" t="inlineStr">
        <is>
          <t>BOX FOR JAR 9ML 10000</t>
        </is>
      </c>
      <c r="F44" s="13" t="inlineStr">
        <is>
          <t>Packaging</t>
        </is>
      </c>
      <c r="G44" s="11" t="n">
        <v>10000</v>
      </c>
      <c r="H44" s="13" t="inlineStr">
        <is>
          <t>pcs</t>
        </is>
      </c>
      <c r="I44" s="10" t="n">
        <v>79.98999999999999</v>
      </c>
      <c r="J44" s="10" t="n">
        <v>4636</v>
      </c>
      <c r="K44" s="12">
        <f>IFERROR(I44/G44,"")</f>
        <v/>
      </c>
      <c r="L44" s="12">
        <f>IFERROR(J44/G44,"")</f>
        <v/>
      </c>
      <c r="M44" s="14">
        <f>IFERROR((I44-J44)/I44,"")</f>
        <v/>
      </c>
      <c r="N44" s="10" t="inlineStr"/>
      <c r="O44" s="11" t="inlineStr"/>
      <c r="P44" s="12">
        <f>IFERROR(N44/O44,"")</f>
        <v/>
      </c>
      <c r="Q44" s="10" t="inlineStr"/>
      <c r="R44" s="11" t="inlineStr"/>
      <c r="S44" s="12">
        <f>IFERROR(Q44/R44,"")</f>
        <v/>
      </c>
      <c r="T44" s="13" t="inlineStr"/>
      <c r="U44" s="9" t="inlineStr"/>
      <c r="V44" s="9" t="inlineStr"/>
      <c r="W44" s="13">
        <f>IF(G44="","",IF(G44&lt;=Assumptions!$B$9,Assumptions!$C$9,IF(G44&lt;=Assumptions!$B$10,Assumptions!$C$10,IF(G44&lt;=Assumptions!$B$11,Assumptions!$C$11,Assumptions!$C$12))))</f>
        <v/>
      </c>
      <c r="X44" s="13">
        <f>IF(F44="Branded",Assumptions!$B$5,IF(OR(F44="Packaging",F44="Bags"),Assumptions!$B$4,1))</f>
        <v/>
      </c>
      <c r="Y44" s="14">
        <f>IFERROR(VLOOKUP(F44,Assumptions!$A$16:$C$20,2,FALSE),0.40)</f>
        <v/>
      </c>
      <c r="Z44" s="14">
        <f>IFERROR(VLOOKUP(F44,Assumptions!$A$16:$C$20,3,FALSE),0.30)</f>
        <v/>
      </c>
      <c r="AA44" s="12">
        <f>IF(P44&lt;&gt;"",P44*X44*W44,IF(L44&lt;&gt;"",L44/(1-Y44),K44))</f>
        <v/>
      </c>
      <c r="AB44" s="12">
        <f>IF(L44&lt;&gt;"",L44/(1-Z44),"")</f>
        <v/>
      </c>
      <c r="AC44" s="12">
        <f>IF(AB44="",AA44,MAX(AA44,AB44))</f>
        <v/>
      </c>
      <c r="AD44" s="10">
        <f>IF(AC44="","",AC44*G44)</f>
        <v/>
      </c>
      <c r="AE44" s="10">
        <f>IF(AD44="","",ROUNDUP(AD44,0)-0.01)</f>
        <v/>
      </c>
      <c r="AF44" s="9">
        <f>IF(P44&lt;&gt;"","Competitor-based",IF(L44&lt;&gt;"","Cost+margin","Needs review"))</f>
        <v/>
      </c>
    </row>
    <row r="45" ht="46" customHeight="1">
      <c r="A45" s="13" t="inlineStr">
        <is>
          <t>blank-boxes-for-7ml-jars</t>
        </is>
      </c>
      <c r="B45" s="9" t="inlineStr">
        <is>
          <t>Blank Boxes for Jars</t>
        </is>
      </c>
      <c r="C45" s="9" t="inlineStr">
        <is>
          <t>Oil Slick Blank Boxes for Jars are clean, retail-ready outer boxes for your concentrate jars, built for brands and extractors who want pro packaging without being locked into pre-printed designs. Sized to fit 5ml, 6ml, 7…</t>
        </is>
      </c>
      <c r="D45" s="9" t="inlineStr">
        <is>
          <t>Size: 9ml / Quantity: 10000 / Color: White</t>
        </is>
      </c>
      <c r="E45" s="13" t="inlineStr">
        <is>
          <t>BOX FOR JAR 9ML 10000</t>
        </is>
      </c>
      <c r="F45" s="13" t="inlineStr">
        <is>
          <t>Packaging</t>
        </is>
      </c>
      <c r="G45" s="11" t="n">
        <v>10000</v>
      </c>
      <c r="H45" s="13" t="inlineStr">
        <is>
          <t>pcs</t>
        </is>
      </c>
      <c r="I45" s="10" t="n">
        <v>19.99</v>
      </c>
      <c r="J45" s="10" t="n">
        <v>4261</v>
      </c>
      <c r="K45" s="12">
        <f>IFERROR(I45/G45,"")</f>
        <v/>
      </c>
      <c r="L45" s="12">
        <f>IFERROR(J45/G45,"")</f>
        <v/>
      </c>
      <c r="M45" s="14">
        <f>IFERROR((I45-J45)/I45,"")</f>
        <v/>
      </c>
      <c r="N45" s="10" t="inlineStr"/>
      <c r="O45" s="11" t="inlineStr"/>
      <c r="P45" s="12">
        <f>IFERROR(N45/O45,"")</f>
        <v/>
      </c>
      <c r="Q45" s="10" t="inlineStr"/>
      <c r="R45" s="11" t="inlineStr"/>
      <c r="S45" s="12">
        <f>IFERROR(Q45/R45,"")</f>
        <v/>
      </c>
      <c r="T45" s="13" t="inlineStr"/>
      <c r="U45" s="9" t="inlineStr"/>
      <c r="V45" s="9" t="inlineStr"/>
      <c r="W45" s="13">
        <f>IF(G45="","",IF(G45&lt;=Assumptions!$B$9,Assumptions!$C$9,IF(G45&lt;=Assumptions!$B$10,Assumptions!$C$10,IF(G45&lt;=Assumptions!$B$11,Assumptions!$C$11,Assumptions!$C$12))))</f>
        <v/>
      </c>
      <c r="X45" s="13">
        <f>IF(F45="Branded",Assumptions!$B$5,IF(OR(F45="Packaging",F45="Bags"),Assumptions!$B$4,1))</f>
        <v/>
      </c>
      <c r="Y45" s="14">
        <f>IFERROR(VLOOKUP(F45,Assumptions!$A$16:$C$20,2,FALSE),0.40)</f>
        <v/>
      </c>
      <c r="Z45" s="14">
        <f>IFERROR(VLOOKUP(F45,Assumptions!$A$16:$C$20,3,FALSE),0.30)</f>
        <v/>
      </c>
      <c r="AA45" s="12">
        <f>IF(P45&lt;&gt;"",P45*X45*W45,IF(L45&lt;&gt;"",L45/(1-Y45),K45))</f>
        <v/>
      </c>
      <c r="AB45" s="12">
        <f>IF(L45&lt;&gt;"",L45/(1-Z45),"")</f>
        <v/>
      </c>
      <c r="AC45" s="12">
        <f>IF(AB45="",AA45,MAX(AA45,AB45))</f>
        <v/>
      </c>
      <c r="AD45" s="10">
        <f>IF(AC45="","",AC45*G45)</f>
        <v/>
      </c>
      <c r="AE45" s="10">
        <f>IF(AD45="","",ROUNDUP(AD45,0)-0.01)</f>
        <v/>
      </c>
      <c r="AF45" s="9">
        <f>IF(P45&lt;&gt;"","Competitor-based",IF(L45&lt;&gt;"","Cost+margin","Needs review"))</f>
        <v/>
      </c>
    </row>
    <row r="46" ht="46" customHeight="1">
      <c r="A46" s="13" t="inlineStr">
        <is>
          <t>custom-oil-slickrcanvas</t>
        </is>
      </c>
      <c r="B46" s="9" t="inlineStr">
        <is>
          <t>Custom Oil Slick®Canvas</t>
        </is>
      </c>
      <c r="C46" s="9" t="inlineStr">
        <is>
          <t>The Custom Oil Slick® Canvas is a fully branded, medical-grade silicone dab pad program built for commercial processors, headshops, and cannabis brands who want their logo living on every dab table, not buried on a busin…</t>
        </is>
      </c>
      <c r="D46" s="9" t="inlineStr">
        <is>
          <t>Quantity: 1000</t>
        </is>
      </c>
      <c r="E46" s="13" t="inlineStr">
        <is>
          <t>CUSTOMCANVAS-03</t>
        </is>
      </c>
      <c r="F46" s="13" t="inlineStr">
        <is>
          <t>Branded</t>
        </is>
      </c>
      <c r="G46" s="11" t="n">
        <v>1000</v>
      </c>
      <c r="H46" s="13" t="inlineStr">
        <is>
          <t>pcs</t>
        </is>
      </c>
      <c r="I46" s="10" t="n">
        <v>39.99</v>
      </c>
      <c r="J46" s="10" t="inlineStr"/>
      <c r="K46" s="12">
        <f>IFERROR(I46/G46,"")</f>
        <v/>
      </c>
      <c r="L46" s="12">
        <f>IFERROR(J46/G46,"")</f>
        <v/>
      </c>
      <c r="M46" s="14">
        <f>IFERROR((I46-J46)/I46,"")</f>
        <v/>
      </c>
      <c r="N46" s="10" t="inlineStr"/>
      <c r="O46" s="11" t="inlineStr"/>
      <c r="P46" s="12">
        <f>IFERROR(N46/O46,"")</f>
        <v/>
      </c>
      <c r="Q46" s="10" t="inlineStr"/>
      <c r="R46" s="11" t="inlineStr"/>
      <c r="S46" s="12">
        <f>IFERROR(Q46/R46,"")</f>
        <v/>
      </c>
      <c r="T46" s="13" t="inlineStr"/>
      <c r="U46" s="9" t="inlineStr"/>
      <c r="V46" s="9" t="inlineStr"/>
      <c r="W46" s="13">
        <f>IF(G46="","",IF(G46&lt;=Assumptions!$B$9,Assumptions!$C$9,IF(G46&lt;=Assumptions!$B$10,Assumptions!$C$10,IF(G46&lt;=Assumptions!$B$11,Assumptions!$C$11,Assumptions!$C$12))))</f>
        <v/>
      </c>
      <c r="X46" s="13">
        <f>IF(F46="Branded",Assumptions!$B$5,IF(OR(F46="Packaging",F46="Bags"),Assumptions!$B$4,1))</f>
        <v/>
      </c>
      <c r="Y46" s="14">
        <f>IFERROR(VLOOKUP(F46,Assumptions!$A$16:$C$20,2,FALSE),0.40)</f>
        <v/>
      </c>
      <c r="Z46" s="14">
        <f>IFERROR(VLOOKUP(F46,Assumptions!$A$16:$C$20,3,FALSE),0.30)</f>
        <v/>
      </c>
      <c r="AA46" s="12">
        <f>IF(P46&lt;&gt;"",P46*X46*W46,IF(L46&lt;&gt;"",L46/(1-Y46),K46))</f>
        <v/>
      </c>
      <c r="AB46" s="12">
        <f>IF(L46&lt;&gt;"",L46/(1-Z46),"")</f>
        <v/>
      </c>
      <c r="AC46" s="12">
        <f>IF(AB46="",AA46,MAX(AA46,AB46))</f>
        <v/>
      </c>
      <c r="AD46" s="10">
        <f>IF(AC46="","",AC46*G46)</f>
        <v/>
      </c>
      <c r="AE46" s="10">
        <f>IF(AD46="","",ROUNDUP(AD46,0)-0.01)</f>
        <v/>
      </c>
      <c r="AF46" s="9">
        <f>IF(P46&lt;&gt;"","Competitor-based",IF(L46&lt;&gt;"","Cost+margin","Needs review"))</f>
        <v/>
      </c>
    </row>
    <row r="47" ht="46" customHeight="1">
      <c r="A47" s="13" t="inlineStr">
        <is>
          <t>custom-oil-slickrcanvas</t>
        </is>
      </c>
      <c r="B47" s="9" t="inlineStr">
        <is>
          <t>Custom Oil Slick®Canvas</t>
        </is>
      </c>
      <c r="C47" s="9" t="inlineStr">
        <is>
          <t>The Custom Oil Slick® Canvas is a fully branded, medical-grade silicone dab pad program built for commercial processors, headshops, and cannabis brands who want their logo living on every dab table, not buried on a busin…</t>
        </is>
      </c>
      <c r="D47" s="9" t="inlineStr">
        <is>
          <t>Quantity: 2000</t>
        </is>
      </c>
      <c r="E47" s="13" t="inlineStr">
        <is>
          <t>CUSTOMCANVAS-04</t>
        </is>
      </c>
      <c r="F47" s="13" t="inlineStr">
        <is>
          <t>Branded</t>
        </is>
      </c>
      <c r="G47" s="11" t="n">
        <v>2000</v>
      </c>
      <c r="H47" s="13" t="inlineStr">
        <is>
          <t>pcs</t>
        </is>
      </c>
      <c r="I47" s="10" t="n">
        <v>39.99</v>
      </c>
      <c r="J47" s="10" t="inlineStr"/>
      <c r="K47" s="12">
        <f>IFERROR(I47/G47,"")</f>
        <v/>
      </c>
      <c r="L47" s="12">
        <f>IFERROR(J47/G47,"")</f>
        <v/>
      </c>
      <c r="M47" s="14">
        <f>IFERROR((I47-J47)/I47,"")</f>
        <v/>
      </c>
      <c r="N47" s="10" t="inlineStr"/>
      <c r="O47" s="11" t="inlineStr"/>
      <c r="P47" s="12">
        <f>IFERROR(N47/O47,"")</f>
        <v/>
      </c>
      <c r="Q47" s="10" t="inlineStr"/>
      <c r="R47" s="11" t="inlineStr"/>
      <c r="S47" s="12">
        <f>IFERROR(Q47/R47,"")</f>
        <v/>
      </c>
      <c r="T47" s="13" t="inlineStr"/>
      <c r="U47" s="9" t="inlineStr"/>
      <c r="V47" s="9" t="inlineStr"/>
      <c r="W47" s="13">
        <f>IF(G47="","",IF(G47&lt;=Assumptions!$B$9,Assumptions!$C$9,IF(G47&lt;=Assumptions!$B$10,Assumptions!$C$10,IF(G47&lt;=Assumptions!$B$11,Assumptions!$C$11,Assumptions!$C$12))))</f>
        <v/>
      </c>
      <c r="X47" s="13">
        <f>IF(F47="Branded",Assumptions!$B$5,IF(OR(F47="Packaging",F47="Bags"),Assumptions!$B$4,1))</f>
        <v/>
      </c>
      <c r="Y47" s="14">
        <f>IFERROR(VLOOKUP(F47,Assumptions!$A$16:$C$20,2,FALSE),0.40)</f>
        <v/>
      </c>
      <c r="Z47" s="14">
        <f>IFERROR(VLOOKUP(F47,Assumptions!$A$16:$C$20,3,FALSE),0.30)</f>
        <v/>
      </c>
      <c r="AA47" s="12">
        <f>IF(P47&lt;&gt;"",P47*X47*W47,IF(L47&lt;&gt;"",L47/(1-Y47),K47))</f>
        <v/>
      </c>
      <c r="AB47" s="12">
        <f>IF(L47&lt;&gt;"",L47/(1-Z47),"")</f>
        <v/>
      </c>
      <c r="AC47" s="12">
        <f>IF(AB47="",AA47,MAX(AA47,AB47))</f>
        <v/>
      </c>
      <c r="AD47" s="10">
        <f>IF(AC47="","",AC47*G47)</f>
        <v/>
      </c>
      <c r="AE47" s="10">
        <f>IF(AD47="","",ROUNDUP(AD47,0)-0.01)</f>
        <v/>
      </c>
      <c r="AF47" s="9">
        <f>IF(P47&lt;&gt;"","Competitor-based",IF(L47&lt;&gt;"","Cost+margin","Needs review"))</f>
        <v/>
      </c>
    </row>
    <row r="48" ht="46" customHeight="1">
      <c r="A48" s="13" t="inlineStr">
        <is>
          <t>slick-clear-fep</t>
        </is>
      </c>
      <c r="B48" s="9" t="inlineStr">
        <is>
          <t>Oil Slick® Clear 50 Sheet :  Packaged for RESALE</t>
        </is>
      </c>
      <c r="C48" s="9" t="inlineStr">
        <is>
          <t>The Oil Slick® Clear 50 Sheet pack is a bulk FEP sheet solution built for concentrate brands, processors, and headshops that resell nonstick sheets to their own customers. Each consumer-ready pack comes pre-counted with …</t>
        </is>
      </c>
      <c r="D48" s="9" t="inlineStr">
        <is>
          <t>Quantity: 25 retail packs of 50</t>
        </is>
      </c>
      <c r="E48" s="13" t="inlineStr">
        <is>
          <t>CLEAR50-01</t>
        </is>
      </c>
      <c r="F48" s="13" t="inlineStr">
        <is>
          <t>Branded</t>
        </is>
      </c>
      <c r="G48" s="11" t="n">
        <v>25</v>
      </c>
      <c r="H48" s="13" t="inlineStr">
        <is>
          <t>pcs</t>
        </is>
      </c>
      <c r="I48" s="10" t="n">
        <v>99.98999999999999</v>
      </c>
      <c r="J48" s="10" t="n">
        <v>124.25</v>
      </c>
      <c r="K48" s="12">
        <f>IFERROR(I48/G48,"")</f>
        <v/>
      </c>
      <c r="L48" s="12">
        <f>IFERROR(J48/G48,"")</f>
        <v/>
      </c>
      <c r="M48" s="14">
        <f>IFERROR((I48-J48)/I48,"")</f>
        <v/>
      </c>
      <c r="N48" s="10" t="inlineStr"/>
      <c r="O48" s="11" t="inlineStr"/>
      <c r="P48" s="12">
        <f>IFERROR(N48/O48,"")</f>
        <v/>
      </c>
      <c r="Q48" s="10" t="inlineStr"/>
      <c r="R48" s="11" t="inlineStr"/>
      <c r="S48" s="12">
        <f>IFERROR(Q48/R48,"")</f>
        <v/>
      </c>
      <c r="T48" s="13" t="inlineStr"/>
      <c r="U48" s="9" t="inlineStr"/>
      <c r="V48" s="9" t="inlineStr"/>
      <c r="W48" s="13">
        <f>IF(G48="","",IF(G48&lt;=Assumptions!$B$9,Assumptions!$C$9,IF(G48&lt;=Assumptions!$B$10,Assumptions!$C$10,IF(G48&lt;=Assumptions!$B$11,Assumptions!$C$11,Assumptions!$C$12))))</f>
        <v/>
      </c>
      <c r="X48" s="13">
        <f>IF(F48="Branded",Assumptions!$B$5,IF(OR(F48="Packaging",F48="Bags"),Assumptions!$B$4,1))</f>
        <v/>
      </c>
      <c r="Y48" s="14">
        <f>IFERROR(VLOOKUP(F48,Assumptions!$A$16:$C$20,2,FALSE),0.40)</f>
        <v/>
      </c>
      <c r="Z48" s="14">
        <f>IFERROR(VLOOKUP(F48,Assumptions!$A$16:$C$20,3,FALSE),0.30)</f>
        <v/>
      </c>
      <c r="AA48" s="12">
        <f>IF(P48&lt;&gt;"",P48*X48*W48,IF(L48&lt;&gt;"",L48/(1-Y48),K48))</f>
        <v/>
      </c>
      <c r="AB48" s="12">
        <f>IF(L48&lt;&gt;"",L48/(1-Z48),"")</f>
        <v/>
      </c>
      <c r="AC48" s="12">
        <f>IF(AB48="",AA48,MAX(AA48,AB48))</f>
        <v/>
      </c>
      <c r="AD48" s="10">
        <f>IF(AC48="","",AC48*G48)</f>
        <v/>
      </c>
      <c r="AE48" s="10">
        <f>IF(AD48="","",ROUNDUP(AD48,0)-0.01)</f>
        <v/>
      </c>
      <c r="AF48" s="9">
        <f>IF(P48&lt;&gt;"","Competitor-based",IF(L48&lt;&gt;"","Cost+margin","Needs review"))</f>
        <v/>
      </c>
    </row>
    <row r="49" ht="46" customHeight="1">
      <c r="A49" s="13" t="inlineStr">
        <is>
          <t>slick-clear-fep</t>
        </is>
      </c>
      <c r="B49" s="9" t="inlineStr">
        <is>
          <t>Oil Slick® Clear 50 Sheet :  Packaged for RESALE</t>
        </is>
      </c>
      <c r="C49" s="9" t="inlineStr">
        <is>
          <t>The Oil Slick® Clear 50 Sheet pack is a bulk FEP sheet solution built for concentrate brands, processors, and headshops that resell nonstick sheets to their own customers. Each consumer-ready pack comes pre-counted with …</t>
        </is>
      </c>
      <c r="D49" s="9" t="inlineStr">
        <is>
          <t>Quantity: 100 retail packs of 50</t>
        </is>
      </c>
      <c r="E49" s="13" t="inlineStr">
        <is>
          <t>CLEAR50-02</t>
        </is>
      </c>
      <c r="F49" s="13" t="inlineStr">
        <is>
          <t>Branded</t>
        </is>
      </c>
      <c r="G49" s="11" t="n">
        <v>100</v>
      </c>
      <c r="H49" s="13" t="inlineStr">
        <is>
          <t>pcs</t>
        </is>
      </c>
      <c r="I49" s="10" t="n">
        <v>149.99</v>
      </c>
      <c r="J49" s="10" t="n">
        <v>497</v>
      </c>
      <c r="K49" s="12">
        <f>IFERROR(I49/G49,"")</f>
        <v/>
      </c>
      <c r="L49" s="12">
        <f>IFERROR(J49/G49,"")</f>
        <v/>
      </c>
      <c r="M49" s="14">
        <f>IFERROR((I49-J49)/I49,"")</f>
        <v/>
      </c>
      <c r="N49" s="10" t="inlineStr"/>
      <c r="O49" s="11" t="inlineStr"/>
      <c r="P49" s="12">
        <f>IFERROR(N49/O49,"")</f>
        <v/>
      </c>
      <c r="Q49" s="10" t="inlineStr"/>
      <c r="R49" s="11" t="inlineStr"/>
      <c r="S49" s="12">
        <f>IFERROR(Q49/R49,"")</f>
        <v/>
      </c>
      <c r="T49" s="13" t="inlineStr"/>
      <c r="U49" s="9" t="inlineStr"/>
      <c r="V49" s="9" t="inlineStr"/>
      <c r="W49" s="13">
        <f>IF(G49="","",IF(G49&lt;=Assumptions!$B$9,Assumptions!$C$9,IF(G49&lt;=Assumptions!$B$10,Assumptions!$C$10,IF(G49&lt;=Assumptions!$B$11,Assumptions!$C$11,Assumptions!$C$12))))</f>
        <v/>
      </c>
      <c r="X49" s="13">
        <f>IF(F49="Branded",Assumptions!$B$5,IF(OR(F49="Packaging",F49="Bags"),Assumptions!$B$4,1))</f>
        <v/>
      </c>
      <c r="Y49" s="14">
        <f>IFERROR(VLOOKUP(F49,Assumptions!$A$16:$C$20,2,FALSE),0.40)</f>
        <v/>
      </c>
      <c r="Z49" s="14">
        <f>IFERROR(VLOOKUP(F49,Assumptions!$A$16:$C$20,3,FALSE),0.30)</f>
        <v/>
      </c>
      <c r="AA49" s="12">
        <f>IF(P49&lt;&gt;"",P49*X49*W49,IF(L49&lt;&gt;"",L49/(1-Y49),K49))</f>
        <v/>
      </c>
      <c r="AB49" s="12">
        <f>IF(L49&lt;&gt;"",L49/(1-Z49),"")</f>
        <v/>
      </c>
      <c r="AC49" s="12">
        <f>IF(AB49="",AA49,MAX(AA49,AB49))</f>
        <v/>
      </c>
      <c r="AD49" s="10">
        <f>IF(AC49="","",AC49*G49)</f>
        <v/>
      </c>
      <c r="AE49" s="10">
        <f>IF(AD49="","",ROUNDUP(AD49,0)-0.01)</f>
        <v/>
      </c>
      <c r="AF49" s="9">
        <f>IF(P49&lt;&gt;"","Competitor-based",IF(L49&lt;&gt;"","Cost+margin","Needs review"))</f>
        <v/>
      </c>
    </row>
    <row r="50" ht="46" customHeight="1">
      <c r="A50" s="13" t="inlineStr">
        <is>
          <t>slick-clear-fep</t>
        </is>
      </c>
      <c r="B50" s="9" t="inlineStr">
        <is>
          <t>Oil Slick® Clear 50 Sheet :  Packaged for RESALE</t>
        </is>
      </c>
      <c r="C50" s="9" t="inlineStr">
        <is>
          <t>The Oil Slick® Clear 50 Sheet pack is a bulk FEP sheet solution built for concentrate brands, processors, and headshops that resell nonstick sheets to their own customers. Each consumer-ready pack comes pre-counted with …</t>
        </is>
      </c>
      <c r="D50" s="9" t="inlineStr">
        <is>
          <t>Quantity: 200 retail packs of 50</t>
        </is>
      </c>
      <c r="E50" s="13" t="inlineStr">
        <is>
          <t>CLEAR50-03</t>
        </is>
      </c>
      <c r="F50" s="13" t="inlineStr">
        <is>
          <t>Branded</t>
        </is>
      </c>
      <c r="G50" s="11" t="n">
        <v>200</v>
      </c>
      <c r="H50" s="13" t="inlineStr">
        <is>
          <t>pcs</t>
        </is>
      </c>
      <c r="I50" s="10" t="n">
        <v>39.99</v>
      </c>
      <c r="J50" s="10" t="n">
        <v>994</v>
      </c>
      <c r="K50" s="12">
        <f>IFERROR(I50/G50,"")</f>
        <v/>
      </c>
      <c r="L50" s="12">
        <f>IFERROR(J50/G50,"")</f>
        <v/>
      </c>
      <c r="M50" s="14">
        <f>IFERROR((I50-J50)/I50,"")</f>
        <v/>
      </c>
      <c r="N50" s="10" t="inlineStr"/>
      <c r="O50" s="11" t="inlineStr"/>
      <c r="P50" s="12">
        <f>IFERROR(N50/O50,"")</f>
        <v/>
      </c>
      <c r="Q50" s="10" t="inlineStr"/>
      <c r="R50" s="11" t="inlineStr"/>
      <c r="S50" s="12">
        <f>IFERROR(Q50/R50,"")</f>
        <v/>
      </c>
      <c r="T50" s="13" t="inlineStr"/>
      <c r="U50" s="9" t="inlineStr"/>
      <c r="V50" s="9" t="inlineStr"/>
      <c r="W50" s="13">
        <f>IF(G50="","",IF(G50&lt;=Assumptions!$B$9,Assumptions!$C$9,IF(G50&lt;=Assumptions!$B$10,Assumptions!$C$10,IF(G50&lt;=Assumptions!$B$11,Assumptions!$C$11,Assumptions!$C$12))))</f>
        <v/>
      </c>
      <c r="X50" s="13">
        <f>IF(F50="Branded",Assumptions!$B$5,IF(OR(F50="Packaging",F50="Bags"),Assumptions!$B$4,1))</f>
        <v/>
      </c>
      <c r="Y50" s="14">
        <f>IFERROR(VLOOKUP(F50,Assumptions!$A$16:$C$20,2,FALSE),0.40)</f>
        <v/>
      </c>
      <c r="Z50" s="14">
        <f>IFERROR(VLOOKUP(F50,Assumptions!$A$16:$C$20,3,FALSE),0.30)</f>
        <v/>
      </c>
      <c r="AA50" s="12">
        <f>IF(P50&lt;&gt;"",P50*X50*W50,IF(L50&lt;&gt;"",L50/(1-Y50),K50))</f>
        <v/>
      </c>
      <c r="AB50" s="12">
        <f>IF(L50&lt;&gt;"",L50/(1-Z50),"")</f>
        <v/>
      </c>
      <c r="AC50" s="12">
        <f>IF(AB50="",AA50,MAX(AA50,AB50))</f>
        <v/>
      </c>
      <c r="AD50" s="10">
        <f>IF(AC50="","",AC50*G50)</f>
        <v/>
      </c>
      <c r="AE50" s="10">
        <f>IF(AD50="","",ROUNDUP(AD50,0)-0.01)</f>
        <v/>
      </c>
      <c r="AF50" s="9">
        <f>IF(P50&lt;&gt;"","Competitor-based",IF(L50&lt;&gt;"","Cost+margin","Needs review"))</f>
        <v/>
      </c>
    </row>
    <row r="51" ht="46" customHeight="1">
      <c r="A51" s="13" t="inlineStr">
        <is>
          <t>slick-clear-fep-sheets</t>
        </is>
      </c>
      <c r="B51" s="9" t="inlineStr">
        <is>
          <t>Oil Slick® Clear FEP Sheets</t>
        </is>
      </c>
      <c r="C51" s="9" t="inlineStr">
        <is>
          <t>Oil Slick Clear FEP Sheets are precision-cut nonstick squares designed for extraction labs, processors, and serious concentrate handlers who need a reliable barrier between sticky product and everything else. Each 4 in ×…</t>
        </is>
      </c>
      <c r="D51" s="9" t="inlineStr">
        <is>
          <t>Quantity: 500 Sheets / Thickness: .05 mm</t>
        </is>
      </c>
      <c r="E51" s="13" t="inlineStr">
        <is>
          <t>CLEAR 500.05</t>
        </is>
      </c>
      <c r="F51" s="13" t="inlineStr">
        <is>
          <t>Branded</t>
        </is>
      </c>
      <c r="G51" s="11" t="n">
        <v>500</v>
      </c>
      <c r="H51" s="13" t="inlineStr">
        <is>
          <t>pcs</t>
        </is>
      </c>
      <c r="I51" s="10" t="n">
        <v>129.99</v>
      </c>
      <c r="J51" s="10" t="n">
        <v>55.2</v>
      </c>
      <c r="K51" s="12">
        <f>IFERROR(I51/G51,"")</f>
        <v/>
      </c>
      <c r="L51" s="12">
        <f>IFERROR(J51/G51,"")</f>
        <v/>
      </c>
      <c r="M51" s="14">
        <f>IFERROR((I51-J51)/I51,"")</f>
        <v/>
      </c>
      <c r="N51" s="10" t="inlineStr"/>
      <c r="O51" s="11" t="inlineStr"/>
      <c r="P51" s="12">
        <f>IFERROR(N51/O51,"")</f>
        <v/>
      </c>
      <c r="Q51" s="10" t="inlineStr"/>
      <c r="R51" s="11" t="inlineStr"/>
      <c r="S51" s="12">
        <f>IFERROR(Q51/R51,"")</f>
        <v/>
      </c>
      <c r="T51" s="13" t="inlineStr"/>
      <c r="U51" s="9" t="inlineStr"/>
      <c r="V51" s="9" t="inlineStr"/>
      <c r="W51" s="13">
        <f>IF(G51="","",IF(G51&lt;=Assumptions!$B$9,Assumptions!$C$9,IF(G51&lt;=Assumptions!$B$10,Assumptions!$C$10,IF(G51&lt;=Assumptions!$B$11,Assumptions!$C$11,Assumptions!$C$12))))</f>
        <v/>
      </c>
      <c r="X51" s="13">
        <f>IF(F51="Branded",Assumptions!$B$5,IF(OR(F51="Packaging",F51="Bags"),Assumptions!$B$4,1))</f>
        <v/>
      </c>
      <c r="Y51" s="14">
        <f>IFERROR(VLOOKUP(F51,Assumptions!$A$16:$C$20,2,FALSE),0.40)</f>
        <v/>
      </c>
      <c r="Z51" s="14">
        <f>IFERROR(VLOOKUP(F51,Assumptions!$A$16:$C$20,3,FALSE),0.30)</f>
        <v/>
      </c>
      <c r="AA51" s="12">
        <f>IF(P51&lt;&gt;"",P51*X51*W51,IF(L51&lt;&gt;"",L51/(1-Y51),K51))</f>
        <v/>
      </c>
      <c r="AB51" s="12">
        <f>IF(L51&lt;&gt;"",L51/(1-Z51),"")</f>
        <v/>
      </c>
      <c r="AC51" s="12">
        <f>IF(AB51="",AA51,MAX(AA51,AB51))</f>
        <v/>
      </c>
      <c r="AD51" s="10">
        <f>IF(AC51="","",AC51*G51)</f>
        <v/>
      </c>
      <c r="AE51" s="10">
        <f>IF(AD51="","",ROUNDUP(AD51,0)-0.01)</f>
        <v/>
      </c>
      <c r="AF51" s="9">
        <f>IF(P51&lt;&gt;"","Competitor-based",IF(L51&lt;&gt;"","Cost+margin","Needs review"))</f>
        <v/>
      </c>
    </row>
    <row r="52" ht="46" customHeight="1">
      <c r="A52" s="13" t="inlineStr">
        <is>
          <t>slick-clear-fep-sheets</t>
        </is>
      </c>
      <c r="B52" s="9" t="inlineStr">
        <is>
          <t>Oil Slick® Clear FEP Sheets</t>
        </is>
      </c>
      <c r="C52" s="9" t="inlineStr">
        <is>
          <t>Oil Slick Clear FEP Sheets are precision-cut nonstick squares designed for extraction labs, processors, and serious concentrate handlers who need a reliable barrier between sticky product and everything else. Each 4 in ×…</t>
        </is>
      </c>
      <c r="D52" s="9" t="inlineStr">
        <is>
          <t>Quantity: 1000 Sheets / Thickness: .05 mm</t>
        </is>
      </c>
      <c r="E52" s="13" t="inlineStr">
        <is>
          <t>CLEAR 1000.05</t>
        </is>
      </c>
      <c r="F52" s="13" t="inlineStr">
        <is>
          <t>Branded</t>
        </is>
      </c>
      <c r="G52" s="11" t="n">
        <v>1000</v>
      </c>
      <c r="H52" s="13" t="inlineStr">
        <is>
          <t>pcs</t>
        </is>
      </c>
      <c r="I52" s="10" t="n">
        <v>89.98999999999999</v>
      </c>
      <c r="J52" s="10" t="n">
        <v>110.4</v>
      </c>
      <c r="K52" s="12">
        <f>IFERROR(I52/G52,"")</f>
        <v/>
      </c>
      <c r="L52" s="12">
        <f>IFERROR(J52/G52,"")</f>
        <v/>
      </c>
      <c r="M52" s="14">
        <f>IFERROR((I52-J52)/I52,"")</f>
        <v/>
      </c>
      <c r="N52" s="10" t="inlineStr"/>
      <c r="O52" s="11" t="inlineStr"/>
      <c r="P52" s="12">
        <f>IFERROR(N52/O52,"")</f>
        <v/>
      </c>
      <c r="Q52" s="10" t="inlineStr"/>
      <c r="R52" s="11" t="inlineStr"/>
      <c r="S52" s="12">
        <f>IFERROR(Q52/R52,"")</f>
        <v/>
      </c>
      <c r="T52" s="13" t="inlineStr"/>
      <c r="U52" s="9" t="inlineStr"/>
      <c r="V52" s="9" t="inlineStr"/>
      <c r="W52" s="13">
        <f>IF(G52="","",IF(G52&lt;=Assumptions!$B$9,Assumptions!$C$9,IF(G52&lt;=Assumptions!$B$10,Assumptions!$C$10,IF(G52&lt;=Assumptions!$B$11,Assumptions!$C$11,Assumptions!$C$12))))</f>
        <v/>
      </c>
      <c r="X52" s="13">
        <f>IF(F52="Branded",Assumptions!$B$5,IF(OR(F52="Packaging",F52="Bags"),Assumptions!$B$4,1))</f>
        <v/>
      </c>
      <c r="Y52" s="14">
        <f>IFERROR(VLOOKUP(F52,Assumptions!$A$16:$C$20,2,FALSE),0.40)</f>
        <v/>
      </c>
      <c r="Z52" s="14">
        <f>IFERROR(VLOOKUP(F52,Assumptions!$A$16:$C$20,3,FALSE),0.30)</f>
        <v/>
      </c>
      <c r="AA52" s="12">
        <f>IF(P52&lt;&gt;"",P52*X52*W52,IF(L52&lt;&gt;"",L52/(1-Y52),K52))</f>
        <v/>
      </c>
      <c r="AB52" s="12">
        <f>IF(L52&lt;&gt;"",L52/(1-Z52),"")</f>
        <v/>
      </c>
      <c r="AC52" s="12">
        <f>IF(AB52="",AA52,MAX(AA52,AB52))</f>
        <v/>
      </c>
      <c r="AD52" s="10">
        <f>IF(AC52="","",AC52*G52)</f>
        <v/>
      </c>
      <c r="AE52" s="10">
        <f>IF(AD52="","",ROUNDUP(AD52,0)-0.01)</f>
        <v/>
      </c>
      <c r="AF52" s="9">
        <f>IF(P52&lt;&gt;"","Competitor-based",IF(L52&lt;&gt;"","Cost+margin","Needs review"))</f>
        <v/>
      </c>
    </row>
    <row r="53" ht="46" customHeight="1">
      <c r="A53" s="13" t="inlineStr">
        <is>
          <t>slick-clear-fep-sheets</t>
        </is>
      </c>
      <c r="B53" s="9" t="inlineStr">
        <is>
          <t>Oil Slick® Clear FEP Sheets</t>
        </is>
      </c>
      <c r="C53" s="9" t="inlineStr">
        <is>
          <t>Oil Slick Clear FEP Sheets are precision-cut nonstick squares designed for extraction labs, processors, and serious concentrate handlers who need a reliable barrier between sticky product and everything else. Each 4 in ×…</t>
        </is>
      </c>
      <c r="D53" s="9" t="inlineStr">
        <is>
          <t>Quantity: 5000 Sheets / Thickness: .05 mm</t>
        </is>
      </c>
      <c r="E53" s="13" t="inlineStr">
        <is>
          <t>CLEAR 5000.05</t>
        </is>
      </c>
      <c r="F53" s="13" t="inlineStr">
        <is>
          <t>Branded</t>
        </is>
      </c>
      <c r="G53" s="11" t="n">
        <v>5000</v>
      </c>
      <c r="H53" s="13" t="inlineStr">
        <is>
          <t>pcs</t>
        </is>
      </c>
      <c r="I53" s="10" t="n">
        <v>1399.99</v>
      </c>
      <c r="J53" s="10" t="n">
        <v>552</v>
      </c>
      <c r="K53" s="12">
        <f>IFERROR(I53/G53,"")</f>
        <v/>
      </c>
      <c r="L53" s="12">
        <f>IFERROR(J53/G53,"")</f>
        <v/>
      </c>
      <c r="M53" s="14">
        <f>IFERROR((I53-J53)/I53,"")</f>
        <v/>
      </c>
      <c r="N53" s="10" t="inlineStr"/>
      <c r="O53" s="11" t="inlineStr"/>
      <c r="P53" s="12">
        <f>IFERROR(N53/O53,"")</f>
        <v/>
      </c>
      <c r="Q53" s="10" t="inlineStr"/>
      <c r="R53" s="11" t="inlineStr"/>
      <c r="S53" s="12">
        <f>IFERROR(Q53/R53,"")</f>
        <v/>
      </c>
      <c r="T53" s="13" t="inlineStr"/>
      <c r="U53" s="9" t="inlineStr"/>
      <c r="V53" s="9" t="inlineStr"/>
      <c r="W53" s="13">
        <f>IF(G53="","",IF(G53&lt;=Assumptions!$B$9,Assumptions!$C$9,IF(G53&lt;=Assumptions!$B$10,Assumptions!$C$10,IF(G53&lt;=Assumptions!$B$11,Assumptions!$C$11,Assumptions!$C$12))))</f>
        <v/>
      </c>
      <c r="X53" s="13">
        <f>IF(F53="Branded",Assumptions!$B$5,IF(OR(F53="Packaging",F53="Bags"),Assumptions!$B$4,1))</f>
        <v/>
      </c>
      <c r="Y53" s="14">
        <f>IFERROR(VLOOKUP(F53,Assumptions!$A$16:$C$20,2,FALSE),0.40)</f>
        <v/>
      </c>
      <c r="Z53" s="14">
        <f>IFERROR(VLOOKUP(F53,Assumptions!$A$16:$C$20,3,FALSE),0.30)</f>
        <v/>
      </c>
      <c r="AA53" s="12">
        <f>IF(P53&lt;&gt;"",P53*X53*W53,IF(L53&lt;&gt;"",L53/(1-Y53),K53))</f>
        <v/>
      </c>
      <c r="AB53" s="12">
        <f>IF(L53&lt;&gt;"",L53/(1-Z53),"")</f>
        <v/>
      </c>
      <c r="AC53" s="12">
        <f>IF(AB53="",AA53,MAX(AA53,AB53))</f>
        <v/>
      </c>
      <c r="AD53" s="10">
        <f>IF(AC53="","",AC53*G53)</f>
        <v/>
      </c>
      <c r="AE53" s="10">
        <f>IF(AD53="","",ROUNDUP(AD53,0)-0.01)</f>
        <v/>
      </c>
      <c r="AF53" s="9">
        <f>IF(P53&lt;&gt;"","Competitor-based",IF(L53&lt;&gt;"","Cost+margin","Needs review"))</f>
        <v/>
      </c>
    </row>
    <row r="54" ht="46" customHeight="1">
      <c r="A54" s="13" t="inlineStr">
        <is>
          <t>oil-slickr-clear-roll-bulk-fep-for-purging-and-slab-storage-50x16</t>
        </is>
      </c>
      <c r="B54" s="9" t="inlineStr">
        <is>
          <t>Oil Slick® Clear Roll BULK FEP FOR PURGING AND SLAB STORAGE 50'x16"</t>
        </is>
      </c>
      <c r="C54" s="9" t="inlineStr">
        <is>
          <t>The Oil Slick® Clear Roll BULK FEP is a lab-grade fluoropolymer film roll built for extractors, processors, and rosin heads who care about purity and yield. At 50 feet x 16 inches (15.2 m x 40.6 cm), it gives you enough …</t>
        </is>
      </c>
      <c r="D54" s="9" t="inlineStr">
        <is>
          <t>Thickness: 0.07mm</t>
        </is>
      </c>
      <c r="E54" s="13" t="inlineStr">
        <is>
          <t>CLEARBULK-01</t>
        </is>
      </c>
      <c r="F54" s="13" t="inlineStr">
        <is>
          <t>Branded</t>
        </is>
      </c>
      <c r="G54" s="11" t="n">
        <v>50</v>
      </c>
      <c r="H54" s="13" t="inlineStr">
        <is>
          <t>ft</t>
        </is>
      </c>
      <c r="I54" s="10" t="n">
        <v>169.99</v>
      </c>
      <c r="J54" s="10" t="n">
        <v>66.89</v>
      </c>
      <c r="K54" s="12">
        <f>IFERROR(I54/G54,"")</f>
        <v/>
      </c>
      <c r="L54" s="12">
        <f>IFERROR(J54/G54,"")</f>
        <v/>
      </c>
      <c r="M54" s="14">
        <f>IFERROR((I54-J54)/I54,"")</f>
        <v/>
      </c>
      <c r="N54" s="10" t="n">
        <v>210</v>
      </c>
      <c r="O54" s="11" t="n">
        <v>50</v>
      </c>
      <c r="P54" s="12">
        <f>IFERROR(N54/O54,"")</f>
        <v/>
      </c>
      <c r="Q54" s="10" t="inlineStr"/>
      <c r="R54" s="11" t="inlineStr"/>
      <c r="S54" s="12">
        <f>IFERROR(Q54/R54,"")</f>
        <v/>
      </c>
      <c r="T54" s="13" t="inlineStr">
        <is>
          <t>Estimated</t>
        </is>
      </c>
      <c r="U54" s="9" t="inlineStr">
        <is>
          <t>https://kraftandkitchen.com/products/kraft-kitchen-sheet-ptfe-rolls</t>
        </is>
      </c>
      <c r="V54" s="9" t="inlineStr">
        <is>
          <t>Related items on PTFE roll page show "Bulk Roll of FEP film... from $210.00" (length not shown in static HTML; assumed 50ft to align with common 50ft rolls).</t>
        </is>
      </c>
      <c r="W54" s="13">
        <f>IF(G54="","",IF(G54&lt;=Assumptions!$B$9,Assumptions!$C$9,IF(G54&lt;=Assumptions!$B$10,Assumptions!$C$10,IF(G54&lt;=Assumptions!$B$11,Assumptions!$C$11,Assumptions!$C$12))))</f>
        <v/>
      </c>
      <c r="X54" s="13">
        <f>IF(F54="Branded",Assumptions!$B$5,IF(OR(F54="Packaging",F54="Bags"),Assumptions!$B$4,1))</f>
        <v/>
      </c>
      <c r="Y54" s="14">
        <f>IFERROR(VLOOKUP(F54,Assumptions!$A$16:$C$20,2,FALSE),0.40)</f>
        <v/>
      </c>
      <c r="Z54" s="14">
        <f>IFERROR(VLOOKUP(F54,Assumptions!$A$16:$C$20,3,FALSE),0.30)</f>
        <v/>
      </c>
      <c r="AA54" s="12">
        <f>IF(P54&lt;&gt;"",P54*X54*W54,IF(L54&lt;&gt;"",L54/(1-Y54),K54))</f>
        <v/>
      </c>
      <c r="AB54" s="12">
        <f>IF(L54&lt;&gt;"",L54/(1-Z54),"")</f>
        <v/>
      </c>
      <c r="AC54" s="12">
        <f>IF(AB54="",AA54,MAX(AA54,AB54))</f>
        <v/>
      </c>
      <c r="AD54" s="10">
        <f>IF(AC54="","",AC54*G54)</f>
        <v/>
      </c>
      <c r="AE54" s="10">
        <f>IF(AD54="","",ROUNDUP(AD54,0)-0.01)</f>
        <v/>
      </c>
      <c r="AF54" s="9">
        <f>IF(P54&lt;&gt;"","Competitor-based",IF(L54&lt;&gt;"","Cost+margin","Needs review"))</f>
        <v/>
      </c>
    </row>
    <row r="55" ht="46" customHeight="1">
      <c r="A55" s="13" t="inlineStr">
        <is>
          <t>oil-slickr-clear-roll-bulk-fep-for-purging-and-slab-storage-50x16</t>
        </is>
      </c>
      <c r="B55" s="9" t="inlineStr">
        <is>
          <t>Oil Slick® Clear Roll BULK FEP FOR PURGING AND SLAB STORAGE 50'x16"</t>
        </is>
      </c>
      <c r="C55" s="9" t="inlineStr">
        <is>
          <t>The Oil Slick® Clear Roll BULK FEP is a lab-grade fluoropolymer film roll built for extractors, processors, and rosin heads who care about purity and yield. At 50 feet x 16 inches (15.2 m x 40.6 cm), it gives you enough …</t>
        </is>
      </c>
      <c r="D55" s="9" t="inlineStr">
        <is>
          <t>Thickness: 0.1mm</t>
        </is>
      </c>
      <c r="E55" s="13" t="inlineStr">
        <is>
          <t>CLEARBULK-02</t>
        </is>
      </c>
      <c r="F55" s="13" t="inlineStr">
        <is>
          <t>Branded</t>
        </is>
      </c>
      <c r="G55" s="11" t="n">
        <v>50</v>
      </c>
      <c r="H55" s="13" t="inlineStr">
        <is>
          <t>ft</t>
        </is>
      </c>
      <c r="I55" s="10" t="n">
        <v>179.99</v>
      </c>
      <c r="J55" s="10" t="n">
        <v>95.7</v>
      </c>
      <c r="K55" s="12">
        <f>IFERROR(I55/G55,"")</f>
        <v/>
      </c>
      <c r="L55" s="12">
        <f>IFERROR(J55/G55,"")</f>
        <v/>
      </c>
      <c r="M55" s="14">
        <f>IFERROR((I55-J55)/I55,"")</f>
        <v/>
      </c>
      <c r="N55" s="10" t="n">
        <v>210</v>
      </c>
      <c r="O55" s="11" t="n">
        <v>50</v>
      </c>
      <c r="P55" s="12">
        <f>IFERROR(N55/O55,"")</f>
        <v/>
      </c>
      <c r="Q55" s="10" t="inlineStr"/>
      <c r="R55" s="11" t="inlineStr"/>
      <c r="S55" s="12">
        <f>IFERROR(Q55/R55,"")</f>
        <v/>
      </c>
      <c r="T55" s="13" t="inlineStr">
        <is>
          <t>Estimated</t>
        </is>
      </c>
      <c r="U55" s="9" t="inlineStr">
        <is>
          <t>https://kraftandkitchen.com/products/kraft-kitchen-sheet-ptfe-rolls</t>
        </is>
      </c>
      <c r="V55" s="9" t="inlineStr">
        <is>
          <t>Related items on PTFE roll page show "Bulk Roll of FEP film... from $210.00" (length not shown in static HTML; assumed 50ft to align with common 50ft rolls).</t>
        </is>
      </c>
      <c r="W55" s="13">
        <f>IF(G55="","",IF(G55&lt;=Assumptions!$B$9,Assumptions!$C$9,IF(G55&lt;=Assumptions!$B$10,Assumptions!$C$10,IF(G55&lt;=Assumptions!$B$11,Assumptions!$C$11,Assumptions!$C$12))))</f>
        <v/>
      </c>
      <c r="X55" s="13">
        <f>IF(F55="Branded",Assumptions!$B$5,IF(OR(F55="Packaging",F55="Bags"),Assumptions!$B$4,1))</f>
        <v/>
      </c>
      <c r="Y55" s="14">
        <f>IFERROR(VLOOKUP(F55,Assumptions!$A$16:$C$20,2,FALSE),0.40)</f>
        <v/>
      </c>
      <c r="Z55" s="14">
        <f>IFERROR(VLOOKUP(F55,Assumptions!$A$16:$C$20,3,FALSE),0.30)</f>
        <v/>
      </c>
      <c r="AA55" s="12">
        <f>IF(P55&lt;&gt;"",P55*X55*W55,IF(L55&lt;&gt;"",L55/(1-Y55),K55))</f>
        <v/>
      </c>
      <c r="AB55" s="12">
        <f>IF(L55&lt;&gt;"",L55/(1-Z55),"")</f>
        <v/>
      </c>
      <c r="AC55" s="12">
        <f>IF(AB55="",AA55,MAX(AA55,AB55))</f>
        <v/>
      </c>
      <c r="AD55" s="10">
        <f>IF(AC55="","",AC55*G55)</f>
        <v/>
      </c>
      <c r="AE55" s="10">
        <f>IF(AD55="","",ROUNDUP(AD55,0)-0.01)</f>
        <v/>
      </c>
      <c r="AF55" s="9">
        <f>IF(P55&lt;&gt;"","Competitor-based",IF(L55&lt;&gt;"","Cost+margin","Needs review"))</f>
        <v/>
      </c>
    </row>
    <row r="56" ht="46" customHeight="1">
      <c r="A56" s="13" t="inlineStr">
        <is>
          <t>oil-slickr-paper-for-rosin-and-storage</t>
        </is>
      </c>
      <c r="B56" s="9" t="inlineStr">
        <is>
          <t>Oil Slick® Paper for ROSIN and Storage</t>
        </is>
      </c>
      <c r="C56" s="9" t="inlineStr">
        <is>
          <t>The Oil Slick® Paper for ROSIN and Storage is a lab-grade nonstick sheet for extractors and rosin heads who actually care what their paper is doing to their yield. It’s a silicone-coated release paper sized at 8.5 inches…</t>
        </is>
      </c>
      <c r="D56" s="9" t="inlineStr">
        <is>
          <t>Quantity: Single Oil Slick® Paper (250 Sheets) / Size: 8.5"x14"</t>
        </is>
      </c>
      <c r="E56" s="13" t="inlineStr">
        <is>
          <t>PAPER-01</t>
        </is>
      </c>
      <c r="F56" s="13" t="inlineStr">
        <is>
          <t>Branded</t>
        </is>
      </c>
      <c r="G56" s="11" t="n">
        <v>250</v>
      </c>
      <c r="H56" s="13" t="inlineStr">
        <is>
          <t>pcs</t>
        </is>
      </c>
      <c r="I56" s="10" t="n">
        <v>29.99</v>
      </c>
      <c r="J56" s="10" t="n">
        <v>1.57</v>
      </c>
      <c r="K56" s="12">
        <f>IFERROR(I56/G56,"")</f>
        <v/>
      </c>
      <c r="L56" s="12">
        <f>IFERROR(J56/G56,"")</f>
        <v/>
      </c>
      <c r="M56" s="14">
        <f>IFERROR((I56-J56)/I56,"")</f>
        <v/>
      </c>
      <c r="N56" s="10" t="inlineStr"/>
      <c r="O56" s="11" t="inlineStr"/>
      <c r="P56" s="12">
        <f>IFERROR(N56/O56,"")</f>
        <v/>
      </c>
      <c r="Q56" s="10" t="inlineStr"/>
      <c r="R56" s="11" t="inlineStr"/>
      <c r="S56" s="12">
        <f>IFERROR(Q56/R56,"")</f>
        <v/>
      </c>
      <c r="T56" s="13" t="inlineStr"/>
      <c r="U56" s="9" t="inlineStr"/>
      <c r="V56" s="9" t="inlineStr"/>
      <c r="W56" s="13">
        <f>IF(G56="","",IF(G56&lt;=Assumptions!$B$9,Assumptions!$C$9,IF(G56&lt;=Assumptions!$B$10,Assumptions!$C$10,IF(G56&lt;=Assumptions!$B$11,Assumptions!$C$11,Assumptions!$C$12))))</f>
        <v/>
      </c>
      <c r="X56" s="13">
        <f>IF(F56="Branded",Assumptions!$B$5,IF(OR(F56="Packaging",F56="Bags"),Assumptions!$B$4,1))</f>
        <v/>
      </c>
      <c r="Y56" s="14">
        <f>IFERROR(VLOOKUP(F56,Assumptions!$A$16:$C$20,2,FALSE),0.40)</f>
        <v/>
      </c>
      <c r="Z56" s="14">
        <f>IFERROR(VLOOKUP(F56,Assumptions!$A$16:$C$20,3,FALSE),0.30)</f>
        <v/>
      </c>
      <c r="AA56" s="12">
        <f>IF(P56&lt;&gt;"",P56*X56*W56,IF(L56&lt;&gt;"",L56/(1-Y56),K56))</f>
        <v/>
      </c>
      <c r="AB56" s="12">
        <f>IF(L56&lt;&gt;"",L56/(1-Z56),"")</f>
        <v/>
      </c>
      <c r="AC56" s="12">
        <f>IF(AB56="",AA56,MAX(AA56,AB56))</f>
        <v/>
      </c>
      <c r="AD56" s="10">
        <f>IF(AC56="","",AC56*G56)</f>
        <v/>
      </c>
      <c r="AE56" s="10">
        <f>IF(AD56="","",ROUNDUP(AD56,0)-0.01)</f>
        <v/>
      </c>
      <c r="AF56" s="9">
        <f>IF(P56&lt;&gt;"","Competitor-based",IF(L56&lt;&gt;"","Cost+margin","Needs review"))</f>
        <v/>
      </c>
    </row>
    <row r="57" ht="46" customHeight="1">
      <c r="A57" s="13" t="inlineStr">
        <is>
          <t>oil-slickr-paper-for-rosin-and-storage</t>
        </is>
      </c>
      <c r="B57" s="9" t="inlineStr">
        <is>
          <t>Oil Slick® Paper for ROSIN and Storage</t>
        </is>
      </c>
      <c r="C57" s="9" t="inlineStr">
        <is>
          <t>The Oil Slick® Paper for ROSIN and Storage is a lab-grade nonstick sheet for extractors and rosin heads who actually care what their paper is doing to their yield. It’s a silicone-coated release paper sized at 8.5 inches…</t>
        </is>
      </c>
      <c r="D57" s="9" t="inlineStr">
        <is>
          <t>Quantity: 2 Pack Oil Slick Paper (500 Sheets) / Size: 8.5"x14"</t>
        </is>
      </c>
      <c r="E57" s="13" t="inlineStr">
        <is>
          <t>PAPER-02pc</t>
        </is>
      </c>
      <c r="F57" s="13" t="inlineStr">
        <is>
          <t>Branded</t>
        </is>
      </c>
      <c r="G57" s="11" t="n">
        <v>2</v>
      </c>
      <c r="H57" s="13" t="inlineStr">
        <is>
          <t>pcs</t>
        </is>
      </c>
      <c r="I57" s="10" t="n">
        <v>5.49</v>
      </c>
      <c r="J57" s="10" t="n">
        <v>1.57</v>
      </c>
      <c r="K57" s="12">
        <f>IFERROR(I57/G57,"")</f>
        <v/>
      </c>
      <c r="L57" s="12">
        <f>IFERROR(J57/G57,"")</f>
        <v/>
      </c>
      <c r="M57" s="14">
        <f>IFERROR((I57-J57)/I57,"")</f>
        <v/>
      </c>
      <c r="N57" s="10" t="inlineStr"/>
      <c r="O57" s="11" t="inlineStr"/>
      <c r="P57" s="12">
        <f>IFERROR(N57/O57,"")</f>
        <v/>
      </c>
      <c r="Q57" s="10" t="inlineStr"/>
      <c r="R57" s="11" t="inlineStr"/>
      <c r="S57" s="12">
        <f>IFERROR(Q57/R57,"")</f>
        <v/>
      </c>
      <c r="T57" s="13" t="inlineStr"/>
      <c r="U57" s="9" t="inlineStr"/>
      <c r="V57" s="9" t="inlineStr"/>
      <c r="W57" s="13">
        <f>IF(G57="","",IF(G57&lt;=Assumptions!$B$9,Assumptions!$C$9,IF(G57&lt;=Assumptions!$B$10,Assumptions!$C$10,IF(G57&lt;=Assumptions!$B$11,Assumptions!$C$11,Assumptions!$C$12))))</f>
        <v/>
      </c>
      <c r="X57" s="13">
        <f>IF(F57="Branded",Assumptions!$B$5,IF(OR(F57="Packaging",F57="Bags"),Assumptions!$B$4,1))</f>
        <v/>
      </c>
      <c r="Y57" s="14">
        <f>IFERROR(VLOOKUP(F57,Assumptions!$A$16:$C$20,2,FALSE),0.40)</f>
        <v/>
      </c>
      <c r="Z57" s="14">
        <f>IFERROR(VLOOKUP(F57,Assumptions!$A$16:$C$20,3,FALSE),0.30)</f>
        <v/>
      </c>
      <c r="AA57" s="12">
        <f>IF(P57&lt;&gt;"",P57*X57*W57,IF(L57&lt;&gt;"",L57/(1-Y57),K57))</f>
        <v/>
      </c>
      <c r="AB57" s="12">
        <f>IF(L57&lt;&gt;"",L57/(1-Z57),"")</f>
        <v/>
      </c>
      <c r="AC57" s="12">
        <f>IF(AB57="",AA57,MAX(AA57,AB57))</f>
        <v/>
      </c>
      <c r="AD57" s="10">
        <f>IF(AC57="","",AC57*G57)</f>
        <v/>
      </c>
      <c r="AE57" s="10">
        <f>IF(AD57="","",ROUNDUP(AD57,0)-0.01)</f>
        <v/>
      </c>
      <c r="AF57" s="9">
        <f>IF(P57&lt;&gt;"","Competitor-based",IF(L57&lt;&gt;"","Cost+margin","Needs review"))</f>
        <v/>
      </c>
    </row>
    <row r="58" ht="46" customHeight="1">
      <c r="A58" s="13" t="inlineStr">
        <is>
          <t>oil-slickr-paper-for-rosin-and-storage</t>
        </is>
      </c>
      <c r="B58" s="9" t="inlineStr">
        <is>
          <t>Oil Slick® Paper for ROSIN and Storage</t>
        </is>
      </c>
      <c r="C58" s="9" t="inlineStr">
        <is>
          <t>The Oil Slick® Paper for ROSIN and Storage is a lab-grade nonstick sheet for extractors and rosin heads who actually care what their paper is doing to their yield. It’s a silicone-coated release paper sized at 8.5 inches…</t>
        </is>
      </c>
      <c r="D58" s="9" t="inlineStr">
        <is>
          <t>Quantity: Box of 18 Oil Slick® Paper (4500 Sheets) / Size: 8.5"x14"</t>
        </is>
      </c>
      <c r="E58" s="13" t="inlineStr">
        <is>
          <t>PAPER-02</t>
        </is>
      </c>
      <c r="F58" s="13" t="inlineStr">
        <is>
          <t>Branded</t>
        </is>
      </c>
      <c r="G58" s="11" t="n">
        <v>18</v>
      </c>
      <c r="H58" s="13" t="inlineStr">
        <is>
          <t>pcs</t>
        </is>
      </c>
      <c r="I58" s="10" t="n">
        <v>99.98999999999999</v>
      </c>
      <c r="J58" s="10" t="n">
        <v>37.72</v>
      </c>
      <c r="K58" s="12">
        <f>IFERROR(I58/G58,"")</f>
        <v/>
      </c>
      <c r="L58" s="12">
        <f>IFERROR(J58/G58,"")</f>
        <v/>
      </c>
      <c r="M58" s="14">
        <f>IFERROR((I58-J58)/I58,"")</f>
        <v/>
      </c>
      <c r="N58" s="10" t="inlineStr"/>
      <c r="O58" s="11" t="inlineStr"/>
      <c r="P58" s="12">
        <f>IFERROR(N58/O58,"")</f>
        <v/>
      </c>
      <c r="Q58" s="10" t="inlineStr"/>
      <c r="R58" s="11" t="inlineStr"/>
      <c r="S58" s="12">
        <f>IFERROR(Q58/R58,"")</f>
        <v/>
      </c>
      <c r="T58" s="13" t="inlineStr"/>
      <c r="U58" s="9" t="inlineStr"/>
      <c r="V58" s="9" t="inlineStr"/>
      <c r="W58" s="13">
        <f>IF(G58="","",IF(G58&lt;=Assumptions!$B$9,Assumptions!$C$9,IF(G58&lt;=Assumptions!$B$10,Assumptions!$C$10,IF(G58&lt;=Assumptions!$B$11,Assumptions!$C$11,Assumptions!$C$12))))</f>
        <v/>
      </c>
      <c r="X58" s="13">
        <f>IF(F58="Branded",Assumptions!$B$5,IF(OR(F58="Packaging",F58="Bags"),Assumptions!$B$4,1))</f>
        <v/>
      </c>
      <c r="Y58" s="14">
        <f>IFERROR(VLOOKUP(F58,Assumptions!$A$16:$C$20,2,FALSE),0.40)</f>
        <v/>
      </c>
      <c r="Z58" s="14">
        <f>IFERROR(VLOOKUP(F58,Assumptions!$A$16:$C$20,3,FALSE),0.30)</f>
        <v/>
      </c>
      <c r="AA58" s="12">
        <f>IF(P58&lt;&gt;"",P58*X58*W58,IF(L58&lt;&gt;"",L58/(1-Y58),K58))</f>
        <v/>
      </c>
      <c r="AB58" s="12">
        <f>IF(L58&lt;&gt;"",L58/(1-Z58),"")</f>
        <v/>
      </c>
      <c r="AC58" s="12">
        <f>IF(AB58="",AA58,MAX(AA58,AB58))</f>
        <v/>
      </c>
      <c r="AD58" s="10">
        <f>IF(AC58="","",AC58*G58)</f>
        <v/>
      </c>
      <c r="AE58" s="10">
        <f>IF(AD58="","",ROUNDUP(AD58,0)-0.01)</f>
        <v/>
      </c>
      <c r="AF58" s="9">
        <f>IF(P58&lt;&gt;"","Competitor-based",IF(L58&lt;&gt;"","Cost+margin","Needs review"))</f>
        <v/>
      </c>
    </row>
    <row r="59" ht="46" customHeight="1">
      <c r="A59" s="13" t="inlineStr">
        <is>
          <t>oil-slickr-paper-for-rosin-and-storage</t>
        </is>
      </c>
      <c r="B59" s="9" t="inlineStr">
        <is>
          <t>Oil Slick® Paper for ROSIN and Storage</t>
        </is>
      </c>
      <c r="C59" s="9" t="inlineStr">
        <is>
          <t>The Oil Slick® Paper for ROSIN and Storage is a lab-grade nonstick sheet for extractors and rosin heads who actually care what their paper is doing to their yield. It’s a silicone-coated release paper sized at 8.5 inches…</t>
        </is>
      </c>
      <c r="D59" s="9" t="inlineStr">
        <is>
          <t>Quantity: Case of 36 Oil Slick® Paper (9000 Sheets) / Size: 8.5"x14"</t>
        </is>
      </c>
      <c r="E59" s="13" t="inlineStr">
        <is>
          <t>PAPER-03</t>
        </is>
      </c>
      <c r="F59" s="13" t="inlineStr">
        <is>
          <t>Branded</t>
        </is>
      </c>
      <c r="G59" s="11" t="n">
        <v>36</v>
      </c>
      <c r="H59" s="13" t="inlineStr">
        <is>
          <t>pcs</t>
        </is>
      </c>
      <c r="I59" s="10" t="n">
        <v>74.98999999999999</v>
      </c>
      <c r="J59" s="10" t="n">
        <v>75.41</v>
      </c>
      <c r="K59" s="12">
        <f>IFERROR(I59/G59,"")</f>
        <v/>
      </c>
      <c r="L59" s="12">
        <f>IFERROR(J59/G59,"")</f>
        <v/>
      </c>
      <c r="M59" s="14">
        <f>IFERROR((I59-J59)/I59,"")</f>
        <v/>
      </c>
      <c r="N59" s="10" t="inlineStr"/>
      <c r="O59" s="11" t="inlineStr"/>
      <c r="P59" s="12">
        <f>IFERROR(N59/O59,"")</f>
        <v/>
      </c>
      <c r="Q59" s="10" t="inlineStr"/>
      <c r="R59" s="11" t="inlineStr"/>
      <c r="S59" s="12">
        <f>IFERROR(Q59/R59,"")</f>
        <v/>
      </c>
      <c r="T59" s="13" t="inlineStr"/>
      <c r="U59" s="9" t="inlineStr"/>
      <c r="V59" s="9" t="inlineStr"/>
      <c r="W59" s="13">
        <f>IF(G59="","",IF(G59&lt;=Assumptions!$B$9,Assumptions!$C$9,IF(G59&lt;=Assumptions!$B$10,Assumptions!$C$10,IF(G59&lt;=Assumptions!$B$11,Assumptions!$C$11,Assumptions!$C$12))))</f>
        <v/>
      </c>
      <c r="X59" s="13">
        <f>IF(F59="Branded",Assumptions!$B$5,IF(OR(F59="Packaging",F59="Bags"),Assumptions!$B$4,1))</f>
        <v/>
      </c>
      <c r="Y59" s="14">
        <f>IFERROR(VLOOKUP(F59,Assumptions!$A$16:$C$20,2,FALSE),0.40)</f>
        <v/>
      </c>
      <c r="Z59" s="14">
        <f>IFERROR(VLOOKUP(F59,Assumptions!$A$16:$C$20,3,FALSE),0.30)</f>
        <v/>
      </c>
      <c r="AA59" s="12">
        <f>IF(P59&lt;&gt;"",P59*X59*W59,IF(L59&lt;&gt;"",L59/(1-Y59),K59))</f>
        <v/>
      </c>
      <c r="AB59" s="12">
        <f>IF(L59&lt;&gt;"",L59/(1-Z59),"")</f>
        <v/>
      </c>
      <c r="AC59" s="12">
        <f>IF(AB59="",AA59,MAX(AA59,AB59))</f>
        <v/>
      </c>
      <c r="AD59" s="10">
        <f>IF(AC59="","",AC59*G59)</f>
        <v/>
      </c>
      <c r="AE59" s="10">
        <f>IF(AD59="","",ROUNDUP(AD59,0)-0.01)</f>
        <v/>
      </c>
      <c r="AF59" s="9">
        <f>IF(P59&lt;&gt;"","Competitor-based",IF(L59&lt;&gt;"","Cost+margin","Needs review"))</f>
        <v/>
      </c>
    </row>
    <row r="60" ht="46" customHeight="1">
      <c r="A60" s="13" t="inlineStr">
        <is>
          <t>oil-slickr-paper-for-rosin-and-storage</t>
        </is>
      </c>
      <c r="B60" s="9" t="inlineStr">
        <is>
          <t>Oil Slick® Paper for ROSIN and Storage</t>
        </is>
      </c>
      <c r="C60" s="9" t="inlineStr">
        <is>
          <t>The Oil Slick® Paper for ROSIN and Storage is a lab-grade nonstick sheet for extractors and rosin heads who actually care what their paper is doing to their yield. It’s a silicone-coated release paper sized at 8.5 inches…</t>
        </is>
      </c>
      <c r="D60" s="9" t="inlineStr">
        <is>
          <t>Quantity: Master Case of 144 Oil Slick® Paper (36,000 Sheets) / Size: 8.5"x14"</t>
        </is>
      </c>
      <c r="E60" s="13" t="inlineStr">
        <is>
          <t>PAPER-04</t>
        </is>
      </c>
      <c r="F60" s="13" t="inlineStr">
        <is>
          <t>Branded</t>
        </is>
      </c>
      <c r="G60" s="11" t="n">
        <v>144</v>
      </c>
      <c r="H60" s="13" t="inlineStr">
        <is>
          <t>pcs</t>
        </is>
      </c>
      <c r="I60" s="10" t="n">
        <v>499.99</v>
      </c>
      <c r="J60" s="10" t="n">
        <v>226.22</v>
      </c>
      <c r="K60" s="12">
        <f>IFERROR(I60/G60,"")</f>
        <v/>
      </c>
      <c r="L60" s="12">
        <f>IFERROR(J60/G60,"")</f>
        <v/>
      </c>
      <c r="M60" s="14">
        <f>IFERROR((I60-J60)/I60,"")</f>
        <v/>
      </c>
      <c r="N60" s="10" t="inlineStr"/>
      <c r="O60" s="11" t="inlineStr"/>
      <c r="P60" s="12">
        <f>IFERROR(N60/O60,"")</f>
        <v/>
      </c>
      <c r="Q60" s="10" t="inlineStr"/>
      <c r="R60" s="11" t="inlineStr"/>
      <c r="S60" s="12">
        <f>IFERROR(Q60/R60,"")</f>
        <v/>
      </c>
      <c r="T60" s="13" t="inlineStr"/>
      <c r="U60" s="9" t="inlineStr"/>
      <c r="V60" s="9" t="inlineStr"/>
      <c r="W60" s="13">
        <f>IF(G60="","",IF(G60&lt;=Assumptions!$B$9,Assumptions!$C$9,IF(G60&lt;=Assumptions!$B$10,Assumptions!$C$10,IF(G60&lt;=Assumptions!$B$11,Assumptions!$C$11,Assumptions!$C$12))))</f>
        <v/>
      </c>
      <c r="X60" s="13">
        <f>IF(F60="Branded",Assumptions!$B$5,IF(OR(F60="Packaging",F60="Bags"),Assumptions!$B$4,1))</f>
        <v/>
      </c>
      <c r="Y60" s="14">
        <f>IFERROR(VLOOKUP(F60,Assumptions!$A$16:$C$20,2,FALSE),0.40)</f>
        <v/>
      </c>
      <c r="Z60" s="14">
        <f>IFERROR(VLOOKUP(F60,Assumptions!$A$16:$C$20,3,FALSE),0.30)</f>
        <v/>
      </c>
      <c r="AA60" s="12">
        <f>IF(P60&lt;&gt;"",P60*X60*W60,IF(L60&lt;&gt;"",L60/(1-Y60),K60))</f>
        <v/>
      </c>
      <c r="AB60" s="12">
        <f>IF(L60&lt;&gt;"",L60/(1-Z60),"")</f>
        <v/>
      </c>
      <c r="AC60" s="12">
        <f>IF(AB60="",AA60,MAX(AA60,AB60))</f>
        <v/>
      </c>
      <c r="AD60" s="10">
        <f>IF(AC60="","",AC60*G60)</f>
        <v/>
      </c>
      <c r="AE60" s="10">
        <f>IF(AD60="","",ROUNDUP(AD60,0)-0.01)</f>
        <v/>
      </c>
      <c r="AF60" s="9">
        <f>IF(P60&lt;&gt;"","Competitor-based",IF(L60&lt;&gt;"","Cost+margin","Needs review"))</f>
        <v/>
      </c>
    </row>
    <row r="61" ht="46" customHeight="1">
      <c r="A61" s="13" t="inlineStr">
        <is>
          <t>oil-slickr-wrap-foil-backed-parchment-with-waterproof-membrane</t>
        </is>
      </c>
      <c r="B61" s="9" t="inlineStr">
        <is>
          <t>Oil Slick® Wrap Foil Backed Parchment</t>
        </is>
      </c>
      <c r="C61" s="9" t="inlineStr">
        <is>
          <t>The Oil Slick® Wrap Foil Backed Parchment is a lab-grade nonstick paper roll built for extractors and rosin heads who need clean handling and reliable storage for sticky concentrates. It gives you a continuous 50-foot (1…</t>
        </is>
      </c>
      <c r="D61" s="9" t="inlineStr">
        <is>
          <t>Make a choice: Single Oil Slick® Wrap</t>
        </is>
      </c>
      <c r="E61" s="13" t="inlineStr">
        <is>
          <t>WRAP-01</t>
        </is>
      </c>
      <c r="F61" s="13" t="inlineStr">
        <is>
          <t>Branded</t>
        </is>
      </c>
      <c r="G61" s="11" t="n">
        <v>1</v>
      </c>
      <c r="H61" s="13" t="inlineStr">
        <is>
          <t>pcs</t>
        </is>
      </c>
      <c r="I61" s="10" t="n">
        <v>9.99</v>
      </c>
      <c r="J61" s="10" t="n">
        <v>3.04</v>
      </c>
      <c r="K61" s="12">
        <f>IFERROR(I61/G61,"")</f>
        <v/>
      </c>
      <c r="L61" s="12">
        <f>IFERROR(J61/G61,"")</f>
        <v/>
      </c>
      <c r="M61" s="14">
        <f>IFERROR((I61-J61)/I61,"")</f>
        <v/>
      </c>
      <c r="N61" s="10" t="inlineStr"/>
      <c r="O61" s="11" t="inlineStr"/>
      <c r="P61" s="12">
        <f>IFERROR(N61/O61,"")</f>
        <v/>
      </c>
      <c r="Q61" s="10" t="inlineStr"/>
      <c r="R61" s="11" t="inlineStr"/>
      <c r="S61" s="12">
        <f>IFERROR(Q61/R61,"")</f>
        <v/>
      </c>
      <c r="T61" s="13" t="inlineStr"/>
      <c r="U61" s="9" t="inlineStr"/>
      <c r="V61" s="9" t="inlineStr"/>
      <c r="W61" s="13">
        <f>IF(G61="","",IF(G61&lt;=Assumptions!$B$9,Assumptions!$C$9,IF(G61&lt;=Assumptions!$B$10,Assumptions!$C$10,IF(G61&lt;=Assumptions!$B$11,Assumptions!$C$11,Assumptions!$C$12))))</f>
        <v/>
      </c>
      <c r="X61" s="13">
        <f>IF(F61="Branded",Assumptions!$B$5,IF(OR(F61="Packaging",F61="Bags"),Assumptions!$B$4,1))</f>
        <v/>
      </c>
      <c r="Y61" s="14">
        <f>IFERROR(VLOOKUP(F61,Assumptions!$A$16:$C$20,2,FALSE),0.40)</f>
        <v/>
      </c>
      <c r="Z61" s="14">
        <f>IFERROR(VLOOKUP(F61,Assumptions!$A$16:$C$20,3,FALSE),0.30)</f>
        <v/>
      </c>
      <c r="AA61" s="12">
        <f>IF(P61&lt;&gt;"",P61*X61*W61,IF(L61&lt;&gt;"",L61/(1-Y61),K61))</f>
        <v/>
      </c>
      <c r="AB61" s="12">
        <f>IF(L61&lt;&gt;"",L61/(1-Z61),"")</f>
        <v/>
      </c>
      <c r="AC61" s="12">
        <f>IF(AB61="",AA61,MAX(AA61,AB61))</f>
        <v/>
      </c>
      <c r="AD61" s="10">
        <f>IF(AC61="","",AC61*G61)</f>
        <v/>
      </c>
      <c r="AE61" s="10">
        <f>IF(AD61="","",ROUNDUP(AD61,0)-0.01)</f>
        <v/>
      </c>
      <c r="AF61" s="9">
        <f>IF(P61&lt;&gt;"","Competitor-based",IF(L61&lt;&gt;"","Cost+margin","Needs review"))</f>
        <v/>
      </c>
    </row>
    <row r="62" ht="46" customHeight="1">
      <c r="A62" s="13" t="inlineStr">
        <is>
          <t>oil-slickr-wrap-foil-backed-parchment-with-waterproof-membrane</t>
        </is>
      </c>
      <c r="B62" s="9" t="inlineStr">
        <is>
          <t>Oil Slick® Wrap Foil Backed Parchment</t>
        </is>
      </c>
      <c r="C62" s="9" t="inlineStr">
        <is>
          <t>The Oil Slick® Wrap Foil Backed Parchment is a lab-grade nonstick paper roll built for extractors and rosin heads who need clean handling and reliable storage for sticky concentrates. It gives you a continuous 50-foot (1…</t>
        </is>
      </c>
      <c r="D62" s="9" t="inlineStr">
        <is>
          <t>Make a choice: 2 Pack</t>
        </is>
      </c>
      <c r="E62" s="13" t="inlineStr">
        <is>
          <t>WRAP-02pc</t>
        </is>
      </c>
      <c r="F62" s="13" t="inlineStr">
        <is>
          <t>Branded</t>
        </is>
      </c>
      <c r="G62" s="11" t="n">
        <v>2</v>
      </c>
      <c r="H62" s="13" t="inlineStr">
        <is>
          <t>pcs</t>
        </is>
      </c>
      <c r="I62" s="10" t="n">
        <v>7.99</v>
      </c>
      <c r="J62" s="10" t="n">
        <v>3.04</v>
      </c>
      <c r="K62" s="12">
        <f>IFERROR(I62/G62,"")</f>
        <v/>
      </c>
      <c r="L62" s="12">
        <f>IFERROR(J62/G62,"")</f>
        <v/>
      </c>
      <c r="M62" s="14">
        <f>IFERROR((I62-J62)/I62,"")</f>
        <v/>
      </c>
      <c r="N62" s="10" t="inlineStr"/>
      <c r="O62" s="11" t="inlineStr"/>
      <c r="P62" s="12">
        <f>IFERROR(N62/O62,"")</f>
        <v/>
      </c>
      <c r="Q62" s="10" t="inlineStr"/>
      <c r="R62" s="11" t="inlineStr"/>
      <c r="S62" s="12">
        <f>IFERROR(Q62/R62,"")</f>
        <v/>
      </c>
      <c r="T62" s="13" t="inlineStr"/>
      <c r="U62" s="9" t="inlineStr"/>
      <c r="V62" s="9" t="inlineStr"/>
      <c r="W62" s="13">
        <f>IF(G62="","",IF(G62&lt;=Assumptions!$B$9,Assumptions!$C$9,IF(G62&lt;=Assumptions!$B$10,Assumptions!$C$10,IF(G62&lt;=Assumptions!$B$11,Assumptions!$C$11,Assumptions!$C$12))))</f>
        <v/>
      </c>
      <c r="X62" s="13">
        <f>IF(F62="Branded",Assumptions!$B$5,IF(OR(F62="Packaging",F62="Bags"),Assumptions!$B$4,1))</f>
        <v/>
      </c>
      <c r="Y62" s="14">
        <f>IFERROR(VLOOKUP(F62,Assumptions!$A$16:$C$20,2,FALSE),0.40)</f>
        <v/>
      </c>
      <c r="Z62" s="14">
        <f>IFERROR(VLOOKUP(F62,Assumptions!$A$16:$C$20,3,FALSE),0.30)</f>
        <v/>
      </c>
      <c r="AA62" s="12">
        <f>IF(P62&lt;&gt;"",P62*X62*W62,IF(L62&lt;&gt;"",L62/(1-Y62),K62))</f>
        <v/>
      </c>
      <c r="AB62" s="12">
        <f>IF(L62&lt;&gt;"",L62/(1-Z62),"")</f>
        <v/>
      </c>
      <c r="AC62" s="12">
        <f>IF(AB62="",AA62,MAX(AA62,AB62))</f>
        <v/>
      </c>
      <c r="AD62" s="10">
        <f>IF(AC62="","",AC62*G62)</f>
        <v/>
      </c>
      <c r="AE62" s="10">
        <f>IF(AD62="","",ROUNDUP(AD62,0)-0.01)</f>
        <v/>
      </c>
      <c r="AF62" s="9">
        <f>IF(P62&lt;&gt;"","Competitor-based",IF(L62&lt;&gt;"","Cost+margin","Needs review"))</f>
        <v/>
      </c>
    </row>
    <row r="63" ht="46" customHeight="1">
      <c r="A63" s="13" t="inlineStr">
        <is>
          <t>oil-slickr-wrap-foil-backed-parchment-with-waterproof-membrane</t>
        </is>
      </c>
      <c r="B63" s="9" t="inlineStr">
        <is>
          <t>Oil Slick® Wrap Foil Backed Parchment</t>
        </is>
      </c>
      <c r="C63" s="9" t="inlineStr">
        <is>
          <t>The Oil Slick® Wrap Foil Backed Parchment is a lab-grade nonstick paper roll built for extractors and rosin heads who need clean handling and reliable storage for sticky concentrates. It gives you a continuous 50-foot (1…</t>
        </is>
      </c>
      <c r="D63" s="9" t="inlineStr">
        <is>
          <t>Make a choice: Box of 12 Oil Slick® Wrap</t>
        </is>
      </c>
      <c r="E63" s="13" t="inlineStr">
        <is>
          <t>WRAP-02</t>
        </is>
      </c>
      <c r="F63" s="13" t="inlineStr">
        <is>
          <t>Branded</t>
        </is>
      </c>
      <c r="G63" s="11" t="n">
        <v>12</v>
      </c>
      <c r="H63" s="13" t="inlineStr">
        <is>
          <t>pcs</t>
        </is>
      </c>
      <c r="I63" s="10" t="n">
        <v>129.99</v>
      </c>
      <c r="J63" s="10" t="n">
        <v>36.43</v>
      </c>
      <c r="K63" s="12">
        <f>IFERROR(I63/G63,"")</f>
        <v/>
      </c>
      <c r="L63" s="12">
        <f>IFERROR(J63/G63,"")</f>
        <v/>
      </c>
      <c r="M63" s="14">
        <f>IFERROR((I63-J63)/I63,"")</f>
        <v/>
      </c>
      <c r="N63" s="10" t="inlineStr"/>
      <c r="O63" s="11" t="inlineStr"/>
      <c r="P63" s="12">
        <f>IFERROR(N63/O63,"")</f>
        <v/>
      </c>
      <c r="Q63" s="10" t="inlineStr"/>
      <c r="R63" s="11" t="inlineStr"/>
      <c r="S63" s="12">
        <f>IFERROR(Q63/R63,"")</f>
        <v/>
      </c>
      <c r="T63" s="13" t="inlineStr"/>
      <c r="U63" s="9" t="inlineStr"/>
      <c r="V63" s="9" t="inlineStr"/>
      <c r="W63" s="13">
        <f>IF(G63="","",IF(G63&lt;=Assumptions!$B$9,Assumptions!$C$9,IF(G63&lt;=Assumptions!$B$10,Assumptions!$C$10,IF(G63&lt;=Assumptions!$B$11,Assumptions!$C$11,Assumptions!$C$12))))</f>
        <v/>
      </c>
      <c r="X63" s="13">
        <f>IF(F63="Branded",Assumptions!$B$5,IF(OR(F63="Packaging",F63="Bags"),Assumptions!$B$4,1))</f>
        <v/>
      </c>
      <c r="Y63" s="14">
        <f>IFERROR(VLOOKUP(F63,Assumptions!$A$16:$C$20,2,FALSE),0.40)</f>
        <v/>
      </c>
      <c r="Z63" s="14">
        <f>IFERROR(VLOOKUP(F63,Assumptions!$A$16:$C$20,3,FALSE),0.30)</f>
        <v/>
      </c>
      <c r="AA63" s="12">
        <f>IF(P63&lt;&gt;"",P63*X63*W63,IF(L63&lt;&gt;"",L63/(1-Y63),K63))</f>
        <v/>
      </c>
      <c r="AB63" s="12">
        <f>IF(L63&lt;&gt;"",L63/(1-Z63),"")</f>
        <v/>
      </c>
      <c r="AC63" s="12">
        <f>IF(AB63="",AA63,MAX(AA63,AB63))</f>
        <v/>
      </c>
      <c r="AD63" s="10">
        <f>IF(AC63="","",AC63*G63)</f>
        <v/>
      </c>
      <c r="AE63" s="10">
        <f>IF(AD63="","",ROUNDUP(AD63,0)-0.01)</f>
        <v/>
      </c>
      <c r="AF63" s="9">
        <f>IF(P63&lt;&gt;"","Competitor-based",IF(L63&lt;&gt;"","Cost+margin","Needs review"))</f>
        <v/>
      </c>
    </row>
    <row r="64" ht="46" customHeight="1">
      <c r="A64" s="13" t="inlineStr">
        <is>
          <t>oil-slickr-wrap-foil-backed-parchment-with-waterproof-membrane</t>
        </is>
      </c>
      <c r="B64" s="9" t="inlineStr">
        <is>
          <t>Oil Slick® Wrap Foil Backed Parchment</t>
        </is>
      </c>
      <c r="C64" s="9" t="inlineStr">
        <is>
          <t>The Oil Slick® Wrap Foil Backed Parchment is a lab-grade nonstick paper roll built for extractors and rosin heads who need clean handling and reliable storage for sticky concentrates. It gives you a continuous 50-foot (1…</t>
        </is>
      </c>
      <c r="D64" s="9" t="inlineStr">
        <is>
          <t>Make a choice: Case of 48 Oil Slick® Wrap</t>
        </is>
      </c>
      <c r="E64" s="13" t="inlineStr">
        <is>
          <t>WRAP-03</t>
        </is>
      </c>
      <c r="F64" s="13" t="inlineStr">
        <is>
          <t>Branded</t>
        </is>
      </c>
      <c r="G64" s="11" t="n">
        <v>48</v>
      </c>
      <c r="H64" s="13" t="inlineStr">
        <is>
          <t>pcs</t>
        </is>
      </c>
      <c r="I64" s="10" t="n">
        <v>99.98999999999999</v>
      </c>
      <c r="J64" s="10" t="n">
        <v>145.73</v>
      </c>
      <c r="K64" s="12">
        <f>IFERROR(I64/G64,"")</f>
        <v/>
      </c>
      <c r="L64" s="12">
        <f>IFERROR(J64/G64,"")</f>
        <v/>
      </c>
      <c r="M64" s="14">
        <f>IFERROR((I64-J64)/I64,"")</f>
        <v/>
      </c>
      <c r="N64" s="10" t="inlineStr"/>
      <c r="O64" s="11" t="inlineStr"/>
      <c r="P64" s="12">
        <f>IFERROR(N64/O64,"")</f>
        <v/>
      </c>
      <c r="Q64" s="10" t="inlineStr"/>
      <c r="R64" s="11" t="inlineStr"/>
      <c r="S64" s="12">
        <f>IFERROR(Q64/R64,"")</f>
        <v/>
      </c>
      <c r="T64" s="13" t="inlineStr"/>
      <c r="U64" s="9" t="inlineStr"/>
      <c r="V64" s="9" t="inlineStr"/>
      <c r="W64" s="13">
        <f>IF(G64="","",IF(G64&lt;=Assumptions!$B$9,Assumptions!$C$9,IF(G64&lt;=Assumptions!$B$10,Assumptions!$C$10,IF(G64&lt;=Assumptions!$B$11,Assumptions!$C$11,Assumptions!$C$12))))</f>
        <v/>
      </c>
      <c r="X64" s="13">
        <f>IF(F64="Branded",Assumptions!$B$5,IF(OR(F64="Packaging",F64="Bags"),Assumptions!$B$4,1))</f>
        <v/>
      </c>
      <c r="Y64" s="14">
        <f>IFERROR(VLOOKUP(F64,Assumptions!$A$16:$C$20,2,FALSE),0.40)</f>
        <v/>
      </c>
      <c r="Z64" s="14">
        <f>IFERROR(VLOOKUP(F64,Assumptions!$A$16:$C$20,3,FALSE),0.30)</f>
        <v/>
      </c>
      <c r="AA64" s="12">
        <f>IF(P64&lt;&gt;"",P64*X64*W64,IF(L64&lt;&gt;"",L64/(1-Y64),K64))</f>
        <v/>
      </c>
      <c r="AB64" s="12">
        <f>IF(L64&lt;&gt;"",L64/(1-Z64),"")</f>
        <v/>
      </c>
      <c r="AC64" s="12">
        <f>IF(AB64="",AA64,MAX(AA64,AB64))</f>
        <v/>
      </c>
      <c r="AD64" s="10">
        <f>IF(AC64="","",AC64*G64)</f>
        <v/>
      </c>
      <c r="AE64" s="10">
        <f>IF(AD64="","",ROUNDUP(AD64,0)-0.01)</f>
        <v/>
      </c>
      <c r="AF64" s="9">
        <f>IF(P64&lt;&gt;"","Competitor-based",IF(L64&lt;&gt;"","Cost+margin","Needs review"))</f>
        <v/>
      </c>
    </row>
    <row r="65" ht="46" customHeight="1">
      <c r="A65" s="13" t="inlineStr">
        <is>
          <t>oil-slickr-wrap-foil-backed-parchment-with-waterproof-membrane</t>
        </is>
      </c>
      <c r="B65" s="9" t="inlineStr">
        <is>
          <t>Oil Slick® Wrap Foil Backed Parchment</t>
        </is>
      </c>
      <c r="C65" s="9" t="inlineStr">
        <is>
          <t>The Oil Slick® Wrap Foil Backed Parchment is a lab-grade nonstick paper roll built for extractors and rosin heads who need clean handling and reliable storage for sticky concentrates. It gives you a continuous 50-foot (1…</t>
        </is>
      </c>
      <c r="D65" s="9" t="inlineStr">
        <is>
          <t>Make a choice: Master Case of 144 Oil Slick® Wrap</t>
        </is>
      </c>
      <c r="E65" s="13" t="inlineStr">
        <is>
          <t>WRAP-04</t>
        </is>
      </c>
      <c r="F65" s="13" t="inlineStr">
        <is>
          <t>Branded</t>
        </is>
      </c>
      <c r="G65" s="11" t="n">
        <v>144</v>
      </c>
      <c r="H65" s="13" t="inlineStr">
        <is>
          <t>pcs</t>
        </is>
      </c>
      <c r="I65" s="10" t="n">
        <v>299.99</v>
      </c>
      <c r="J65" s="10" t="n">
        <v>437.18</v>
      </c>
      <c r="K65" s="12">
        <f>IFERROR(I65/G65,"")</f>
        <v/>
      </c>
      <c r="L65" s="12">
        <f>IFERROR(J65/G65,"")</f>
        <v/>
      </c>
      <c r="M65" s="14">
        <f>IFERROR((I65-J65)/I65,"")</f>
        <v/>
      </c>
      <c r="N65" s="10" t="inlineStr"/>
      <c r="O65" s="11" t="inlineStr"/>
      <c r="P65" s="12">
        <f>IFERROR(N65/O65,"")</f>
        <v/>
      </c>
      <c r="Q65" s="10" t="inlineStr"/>
      <c r="R65" s="11" t="inlineStr"/>
      <c r="S65" s="12">
        <f>IFERROR(Q65/R65,"")</f>
        <v/>
      </c>
      <c r="T65" s="13" t="inlineStr"/>
      <c r="U65" s="9" t="inlineStr"/>
      <c r="V65" s="9" t="inlineStr"/>
      <c r="W65" s="13">
        <f>IF(G65="","",IF(G65&lt;=Assumptions!$B$9,Assumptions!$C$9,IF(G65&lt;=Assumptions!$B$10,Assumptions!$C$10,IF(G65&lt;=Assumptions!$B$11,Assumptions!$C$11,Assumptions!$C$12))))</f>
        <v/>
      </c>
      <c r="X65" s="13">
        <f>IF(F65="Branded",Assumptions!$B$5,IF(OR(F65="Packaging",F65="Bags"),Assumptions!$B$4,1))</f>
        <v/>
      </c>
      <c r="Y65" s="14">
        <f>IFERROR(VLOOKUP(F65,Assumptions!$A$16:$C$20,2,FALSE),0.40)</f>
        <v/>
      </c>
      <c r="Z65" s="14">
        <f>IFERROR(VLOOKUP(F65,Assumptions!$A$16:$C$20,3,FALSE),0.30)</f>
        <v/>
      </c>
      <c r="AA65" s="12">
        <f>IF(P65&lt;&gt;"",P65*X65*W65,IF(L65&lt;&gt;"",L65/(1-Y65),K65))</f>
        <v/>
      </c>
      <c r="AB65" s="12">
        <f>IF(L65&lt;&gt;"",L65/(1-Z65),"")</f>
        <v/>
      </c>
      <c r="AC65" s="12">
        <f>IF(AB65="",AA65,MAX(AA65,AB65))</f>
        <v/>
      </c>
      <c r="AD65" s="10">
        <f>IF(AC65="","",AC65*G65)</f>
        <v/>
      </c>
      <c r="AE65" s="10">
        <f>IF(AD65="","",ROUNDUP(AD65,0)-0.01)</f>
        <v/>
      </c>
      <c r="AF65" s="9">
        <f>IF(P65&lt;&gt;"","Competitor-based",IF(L65&lt;&gt;"","Cost+margin","Needs review"))</f>
        <v/>
      </c>
    </row>
    <row r="66" ht="46" customHeight="1">
      <c r="A66" s="13" t="inlineStr">
        <is>
          <t>slick-duo</t>
        </is>
      </c>
      <c r="B66" s="9" t="inlineStr">
        <is>
          <t>Slick® Duo</t>
        </is>
      </c>
      <c r="C66" s="9" t="inlineStr">
        <is>
          <t>The Slick® Duo is a compact pair of nonstick silicone pads built for dabbers and extractors who want a clean, organized station without sacrificing space. Sized roughly like an index card, they give you dedicated spots f…</t>
        </is>
      </c>
      <c r="D66" s="9" t="inlineStr">
        <is>
          <t>Make a choice: Slick® Duo Pack</t>
        </is>
      </c>
      <c r="E66" s="13" t="inlineStr">
        <is>
          <t>DUO-01</t>
        </is>
      </c>
      <c r="F66" s="13" t="inlineStr">
        <is>
          <t>Other</t>
        </is>
      </c>
      <c r="G66" s="11" t="n">
        <v>1</v>
      </c>
      <c r="H66" s="13" t="inlineStr">
        <is>
          <t>pcs</t>
        </is>
      </c>
      <c r="I66" s="10" t="n">
        <v>21.99</v>
      </c>
      <c r="J66" s="10" t="n">
        <v>0.77</v>
      </c>
      <c r="K66" s="12">
        <f>IFERROR(I66/G66,"")</f>
        <v/>
      </c>
      <c r="L66" s="12">
        <f>IFERROR(J66/G66,"")</f>
        <v/>
      </c>
      <c r="M66" s="14">
        <f>IFERROR((I66-J66)/I66,"")</f>
        <v/>
      </c>
      <c r="N66" s="10" t="inlineStr"/>
      <c r="O66" s="11" t="inlineStr"/>
      <c r="P66" s="12">
        <f>IFERROR(N66/O66,"")</f>
        <v/>
      </c>
      <c r="Q66" s="10" t="inlineStr"/>
      <c r="R66" s="11" t="inlineStr"/>
      <c r="S66" s="12">
        <f>IFERROR(Q66/R66,"")</f>
        <v/>
      </c>
      <c r="T66" s="13" t="inlineStr"/>
      <c r="U66" s="9" t="inlineStr"/>
      <c r="V66" s="9" t="inlineStr"/>
      <c r="W66" s="13">
        <f>IF(G66="","",IF(G66&lt;=Assumptions!$B$9,Assumptions!$C$9,IF(G66&lt;=Assumptions!$B$10,Assumptions!$C$10,IF(G66&lt;=Assumptions!$B$11,Assumptions!$C$11,Assumptions!$C$12))))</f>
        <v/>
      </c>
      <c r="X66" s="13">
        <f>IF(F66="Branded",Assumptions!$B$5,IF(OR(F66="Packaging",F66="Bags"),Assumptions!$B$4,1))</f>
        <v/>
      </c>
      <c r="Y66" s="14">
        <f>IFERROR(VLOOKUP(F66,Assumptions!$A$16:$C$20,2,FALSE),0.40)</f>
        <v/>
      </c>
      <c r="Z66" s="14">
        <f>IFERROR(VLOOKUP(F66,Assumptions!$A$16:$C$20,3,FALSE),0.30)</f>
        <v/>
      </c>
      <c r="AA66" s="12">
        <f>IF(P66&lt;&gt;"",P66*X66*W66,IF(L66&lt;&gt;"",L66/(1-Y66),K66))</f>
        <v/>
      </c>
      <c r="AB66" s="12">
        <f>IF(L66&lt;&gt;"",L66/(1-Z66),"")</f>
        <v/>
      </c>
      <c r="AC66" s="12">
        <f>IF(AB66="",AA66,MAX(AA66,AB66))</f>
        <v/>
      </c>
      <c r="AD66" s="10">
        <f>IF(AC66="","",AC66*G66)</f>
        <v/>
      </c>
      <c r="AE66" s="10">
        <f>IF(AD66="","",ROUNDUP(AD66,0)-0.01)</f>
        <v/>
      </c>
      <c r="AF66" s="9">
        <f>IF(P66&lt;&gt;"","Competitor-based",IF(L66&lt;&gt;"","Cost+margin","Needs review"))</f>
        <v/>
      </c>
    </row>
    <row r="67" ht="46" customHeight="1">
      <c r="A67" s="13" t="inlineStr">
        <is>
          <t>slick-duo</t>
        </is>
      </c>
      <c r="B67" s="9" t="inlineStr">
        <is>
          <t>Slick® Duo</t>
        </is>
      </c>
      <c r="C67" s="9" t="inlineStr">
        <is>
          <t>The Slick® Duo is a compact pair of nonstick silicone pads built for dabbers and extractors who want a clean, organized station without sacrificing space. Sized roughly like an index card, they give you dedicated spots f…</t>
        </is>
      </c>
      <c r="D67" s="9" t="inlineStr">
        <is>
          <t>Make a choice: 2 Pack (of 2 duos in each pack)</t>
        </is>
      </c>
      <c r="E67" s="13" t="inlineStr">
        <is>
          <t>DUO-02pc</t>
        </is>
      </c>
      <c r="F67" s="13" t="inlineStr">
        <is>
          <t>Other</t>
        </is>
      </c>
      <c r="G67" s="11" t="n">
        <v>2</v>
      </c>
      <c r="H67" s="13" t="inlineStr">
        <is>
          <t>pcs</t>
        </is>
      </c>
      <c r="I67" s="10" t="n">
        <v>19.99</v>
      </c>
      <c r="J67" s="10" t="n">
        <v>0.77</v>
      </c>
      <c r="K67" s="12">
        <f>IFERROR(I67/G67,"")</f>
        <v/>
      </c>
      <c r="L67" s="12">
        <f>IFERROR(J67/G67,"")</f>
        <v/>
      </c>
      <c r="M67" s="14">
        <f>IFERROR((I67-J67)/I67,"")</f>
        <v/>
      </c>
      <c r="N67" s="10" t="inlineStr"/>
      <c r="O67" s="11" t="inlineStr"/>
      <c r="P67" s="12">
        <f>IFERROR(N67/O67,"")</f>
        <v/>
      </c>
      <c r="Q67" s="10" t="inlineStr"/>
      <c r="R67" s="11" t="inlineStr"/>
      <c r="S67" s="12">
        <f>IFERROR(Q67/R67,"")</f>
        <v/>
      </c>
      <c r="T67" s="13" t="inlineStr"/>
      <c r="U67" s="9" t="inlineStr"/>
      <c r="V67" s="9" t="inlineStr"/>
      <c r="W67" s="13">
        <f>IF(G67="","",IF(G67&lt;=Assumptions!$B$9,Assumptions!$C$9,IF(G67&lt;=Assumptions!$B$10,Assumptions!$C$10,IF(G67&lt;=Assumptions!$B$11,Assumptions!$C$11,Assumptions!$C$12))))</f>
        <v/>
      </c>
      <c r="X67" s="13">
        <f>IF(F67="Branded",Assumptions!$B$5,IF(OR(F67="Packaging",F67="Bags"),Assumptions!$B$4,1))</f>
        <v/>
      </c>
      <c r="Y67" s="14">
        <f>IFERROR(VLOOKUP(F67,Assumptions!$A$16:$C$20,2,FALSE),0.40)</f>
        <v/>
      </c>
      <c r="Z67" s="14">
        <f>IFERROR(VLOOKUP(F67,Assumptions!$A$16:$C$20,3,FALSE),0.30)</f>
        <v/>
      </c>
      <c r="AA67" s="12">
        <f>IF(P67&lt;&gt;"",P67*X67*W67,IF(L67&lt;&gt;"",L67/(1-Y67),K67))</f>
        <v/>
      </c>
      <c r="AB67" s="12">
        <f>IF(L67&lt;&gt;"",L67/(1-Z67),"")</f>
        <v/>
      </c>
      <c r="AC67" s="12">
        <f>IF(AB67="",AA67,MAX(AA67,AB67))</f>
        <v/>
      </c>
      <c r="AD67" s="10">
        <f>IF(AC67="","",AC67*G67)</f>
        <v/>
      </c>
      <c r="AE67" s="10">
        <f>IF(AD67="","",ROUNDUP(AD67,0)-0.01)</f>
        <v/>
      </c>
      <c r="AF67" s="9">
        <f>IF(P67&lt;&gt;"","Competitor-based",IF(L67&lt;&gt;"","Cost+margin","Needs review"))</f>
        <v/>
      </c>
    </row>
    <row r="68" ht="46" customHeight="1">
      <c r="A68" s="13" t="inlineStr">
        <is>
          <t>slick-duo</t>
        </is>
      </c>
      <c r="B68" s="9" t="inlineStr">
        <is>
          <t>Slick® Duo</t>
        </is>
      </c>
      <c r="C68" s="9" t="inlineStr">
        <is>
          <t>The Slick® Duo is a compact pair of nonstick silicone pads built for dabbers and extractors who want a clean, organized station without sacrificing space. Sized roughly like an index card, they give you dedicated spots f…</t>
        </is>
      </c>
      <c r="D68" s="9" t="inlineStr">
        <is>
          <t>Make a choice: Box of 12 Slick® Duo Packs</t>
        </is>
      </c>
      <c r="E68" s="13" t="inlineStr">
        <is>
          <t>DUO-02</t>
        </is>
      </c>
      <c r="F68" s="13" t="inlineStr">
        <is>
          <t>Other</t>
        </is>
      </c>
      <c r="G68" s="11" t="n">
        <v>12</v>
      </c>
      <c r="H68" s="13" t="inlineStr">
        <is>
          <t>pcs</t>
        </is>
      </c>
      <c r="I68" s="10" t="n">
        <v>22.99</v>
      </c>
      <c r="J68" s="10" t="n">
        <v>10.82</v>
      </c>
      <c r="K68" s="12">
        <f>IFERROR(I68/G68,"")</f>
        <v/>
      </c>
      <c r="L68" s="12">
        <f>IFERROR(J68/G68,"")</f>
        <v/>
      </c>
      <c r="M68" s="14">
        <f>IFERROR((I68-J68)/I68,"")</f>
        <v/>
      </c>
      <c r="N68" s="10" t="inlineStr"/>
      <c r="O68" s="11" t="inlineStr"/>
      <c r="P68" s="12">
        <f>IFERROR(N68/O68,"")</f>
        <v/>
      </c>
      <c r="Q68" s="10" t="inlineStr"/>
      <c r="R68" s="11" t="inlineStr"/>
      <c r="S68" s="12">
        <f>IFERROR(Q68/R68,"")</f>
        <v/>
      </c>
      <c r="T68" s="13" t="inlineStr"/>
      <c r="U68" s="9" t="inlineStr"/>
      <c r="V68" s="9" t="inlineStr"/>
      <c r="W68" s="13">
        <f>IF(G68="","",IF(G68&lt;=Assumptions!$B$9,Assumptions!$C$9,IF(G68&lt;=Assumptions!$B$10,Assumptions!$C$10,IF(G68&lt;=Assumptions!$B$11,Assumptions!$C$11,Assumptions!$C$12))))</f>
        <v/>
      </c>
      <c r="X68" s="13">
        <f>IF(F68="Branded",Assumptions!$B$5,IF(OR(F68="Packaging",F68="Bags"),Assumptions!$B$4,1))</f>
        <v/>
      </c>
      <c r="Y68" s="14">
        <f>IFERROR(VLOOKUP(F68,Assumptions!$A$16:$C$20,2,FALSE),0.40)</f>
        <v/>
      </c>
      <c r="Z68" s="14">
        <f>IFERROR(VLOOKUP(F68,Assumptions!$A$16:$C$20,3,FALSE),0.30)</f>
        <v/>
      </c>
      <c r="AA68" s="12">
        <f>IF(P68&lt;&gt;"",P68*X68*W68,IF(L68&lt;&gt;"",L68/(1-Y68),K68))</f>
        <v/>
      </c>
      <c r="AB68" s="12">
        <f>IF(L68&lt;&gt;"",L68/(1-Z68),"")</f>
        <v/>
      </c>
      <c r="AC68" s="12">
        <f>IF(AB68="",AA68,MAX(AA68,AB68))</f>
        <v/>
      </c>
      <c r="AD68" s="10">
        <f>IF(AC68="","",AC68*G68)</f>
        <v/>
      </c>
      <c r="AE68" s="10">
        <f>IF(AD68="","",ROUNDUP(AD68,0)-0.01)</f>
        <v/>
      </c>
      <c r="AF68" s="9">
        <f>IF(P68&lt;&gt;"","Competitor-based",IF(L68&lt;&gt;"","Cost+margin","Needs review"))</f>
        <v/>
      </c>
    </row>
    <row r="69" ht="46" customHeight="1">
      <c r="A69" s="13" t="inlineStr">
        <is>
          <t>slick-duo</t>
        </is>
      </c>
      <c r="B69" s="9" t="inlineStr">
        <is>
          <t>Slick® Duo</t>
        </is>
      </c>
      <c r="C69" s="9" t="inlineStr">
        <is>
          <t>The Slick® Duo is a compact pair of nonstick silicone pads built for dabbers and extractors who want a clean, organized station without sacrificing space. Sized roughly like an index card, they give you dedicated spots f…</t>
        </is>
      </c>
      <c r="D69" s="9" t="inlineStr">
        <is>
          <t>Make a choice: Case of 48 Slick® Duo Packs</t>
        </is>
      </c>
      <c r="E69" s="13" t="inlineStr">
        <is>
          <t>DUO-03</t>
        </is>
      </c>
      <c r="F69" s="13" t="inlineStr">
        <is>
          <t>Other</t>
        </is>
      </c>
      <c r="G69" s="11" t="n">
        <v>48</v>
      </c>
      <c r="H69" s="13" t="inlineStr">
        <is>
          <t>pcs</t>
        </is>
      </c>
      <c r="I69" s="10" t="n">
        <v>24.99</v>
      </c>
      <c r="J69" s="10" t="n">
        <v>37.1</v>
      </c>
      <c r="K69" s="12">
        <f>IFERROR(I69/G69,"")</f>
        <v/>
      </c>
      <c r="L69" s="12">
        <f>IFERROR(J69/G69,"")</f>
        <v/>
      </c>
      <c r="M69" s="14">
        <f>IFERROR((I69-J69)/I69,"")</f>
        <v/>
      </c>
      <c r="N69" s="10" t="inlineStr"/>
      <c r="O69" s="11" t="inlineStr"/>
      <c r="P69" s="12">
        <f>IFERROR(N69/O69,"")</f>
        <v/>
      </c>
      <c r="Q69" s="10" t="inlineStr"/>
      <c r="R69" s="11" t="inlineStr"/>
      <c r="S69" s="12">
        <f>IFERROR(Q69/R69,"")</f>
        <v/>
      </c>
      <c r="T69" s="13" t="inlineStr"/>
      <c r="U69" s="9" t="inlineStr"/>
      <c r="V69" s="9" t="inlineStr"/>
      <c r="W69" s="13">
        <f>IF(G69="","",IF(G69&lt;=Assumptions!$B$9,Assumptions!$C$9,IF(G69&lt;=Assumptions!$B$10,Assumptions!$C$10,IF(G69&lt;=Assumptions!$B$11,Assumptions!$C$11,Assumptions!$C$12))))</f>
        <v/>
      </c>
      <c r="X69" s="13">
        <f>IF(F69="Branded",Assumptions!$B$5,IF(OR(F69="Packaging",F69="Bags"),Assumptions!$B$4,1))</f>
        <v/>
      </c>
      <c r="Y69" s="14">
        <f>IFERROR(VLOOKUP(F69,Assumptions!$A$16:$C$20,2,FALSE),0.40)</f>
        <v/>
      </c>
      <c r="Z69" s="14">
        <f>IFERROR(VLOOKUP(F69,Assumptions!$A$16:$C$20,3,FALSE),0.30)</f>
        <v/>
      </c>
      <c r="AA69" s="12">
        <f>IF(P69&lt;&gt;"",P69*X69*W69,IF(L69&lt;&gt;"",L69/(1-Y69),K69))</f>
        <v/>
      </c>
      <c r="AB69" s="12">
        <f>IF(L69&lt;&gt;"",L69/(1-Z69),"")</f>
        <v/>
      </c>
      <c r="AC69" s="12">
        <f>IF(AB69="",AA69,MAX(AA69,AB69))</f>
        <v/>
      </c>
      <c r="AD69" s="10">
        <f>IF(AC69="","",AC69*G69)</f>
        <v/>
      </c>
      <c r="AE69" s="10">
        <f>IF(AD69="","",ROUNDUP(AD69,0)-0.01)</f>
        <v/>
      </c>
      <c r="AF69" s="9">
        <f>IF(P69&lt;&gt;"","Competitor-based",IF(L69&lt;&gt;"","Cost+margin","Needs review"))</f>
        <v/>
      </c>
    </row>
    <row r="70" ht="46" customHeight="1">
      <c r="A70" s="13" t="inlineStr">
        <is>
          <t>slick-pad</t>
        </is>
      </c>
      <c r="B70" s="9" t="inlineStr">
        <is>
          <t>Slick® Pad</t>
        </is>
      </c>
      <c r="C70" s="9" t="inlineStr">
        <is>
          <t>The Slick® Pad is Oil Slick’s original nonstick silicone work surface, built for extractors, dabbers, and anyone who’s constantly fighting sticky concentrates. It gives you a clean, defined zone for handling rosin, hash,…</t>
        </is>
      </c>
      <c r="D70" s="9" t="inlineStr">
        <is>
          <t>Make a choice: Single Oil Slick® Pad</t>
        </is>
      </c>
      <c r="E70" s="13" t="inlineStr">
        <is>
          <t>PAD-01</t>
        </is>
      </c>
      <c r="F70" s="13" t="inlineStr">
        <is>
          <t>Other</t>
        </is>
      </c>
      <c r="G70" s="11" t="n">
        <v>1</v>
      </c>
      <c r="H70" s="13" t="inlineStr">
        <is>
          <t>pcs</t>
        </is>
      </c>
      <c r="I70" s="10" t="n">
        <v>22.49</v>
      </c>
      <c r="J70" s="10" t="n">
        <v>2.96</v>
      </c>
      <c r="K70" s="12">
        <f>IFERROR(I70/G70,"")</f>
        <v/>
      </c>
      <c r="L70" s="12">
        <f>IFERROR(J70/G70,"")</f>
        <v/>
      </c>
      <c r="M70" s="14">
        <f>IFERROR((I70-J70)/I70,"")</f>
        <v/>
      </c>
      <c r="N70" s="10" t="inlineStr"/>
      <c r="O70" s="11" t="inlineStr"/>
      <c r="P70" s="12">
        <f>IFERROR(N70/O70,"")</f>
        <v/>
      </c>
      <c r="Q70" s="10" t="inlineStr"/>
      <c r="R70" s="11" t="inlineStr"/>
      <c r="S70" s="12">
        <f>IFERROR(Q70/R70,"")</f>
        <v/>
      </c>
      <c r="T70" s="13" t="inlineStr"/>
      <c r="U70" s="9" t="inlineStr"/>
      <c r="V70" s="9" t="inlineStr"/>
      <c r="W70" s="13">
        <f>IF(G70="","",IF(G70&lt;=Assumptions!$B$9,Assumptions!$C$9,IF(G70&lt;=Assumptions!$B$10,Assumptions!$C$10,IF(G70&lt;=Assumptions!$B$11,Assumptions!$C$11,Assumptions!$C$12))))</f>
        <v/>
      </c>
      <c r="X70" s="13">
        <f>IF(F70="Branded",Assumptions!$B$5,IF(OR(F70="Packaging",F70="Bags"),Assumptions!$B$4,1))</f>
        <v/>
      </c>
      <c r="Y70" s="14">
        <f>IFERROR(VLOOKUP(F70,Assumptions!$A$16:$C$20,2,FALSE),0.40)</f>
        <v/>
      </c>
      <c r="Z70" s="14">
        <f>IFERROR(VLOOKUP(F70,Assumptions!$A$16:$C$20,3,FALSE),0.30)</f>
        <v/>
      </c>
      <c r="AA70" s="12">
        <f>IF(P70&lt;&gt;"",P70*X70*W70,IF(L70&lt;&gt;"",L70/(1-Y70),K70))</f>
        <v/>
      </c>
      <c r="AB70" s="12">
        <f>IF(L70&lt;&gt;"",L70/(1-Z70),"")</f>
        <v/>
      </c>
      <c r="AC70" s="12">
        <f>IF(AB70="",AA70,MAX(AA70,AB70))</f>
        <v/>
      </c>
      <c r="AD70" s="10">
        <f>IF(AC70="","",AC70*G70)</f>
        <v/>
      </c>
      <c r="AE70" s="10">
        <f>IF(AD70="","",ROUNDUP(AD70,0)-0.01)</f>
        <v/>
      </c>
      <c r="AF70" s="9">
        <f>IF(P70&lt;&gt;"","Competitor-based",IF(L70&lt;&gt;"","Cost+margin","Needs review"))</f>
        <v/>
      </c>
    </row>
    <row r="71" ht="46" customHeight="1">
      <c r="A71" s="13" t="inlineStr">
        <is>
          <t>slick-pad</t>
        </is>
      </c>
      <c r="B71" s="9" t="inlineStr">
        <is>
          <t>Slick® Pad</t>
        </is>
      </c>
      <c r="C71" s="9" t="inlineStr">
        <is>
          <t>The Slick® Pad is Oil Slick’s original nonstick silicone work surface, built for extractors, dabbers, and anyone who’s constantly fighting sticky concentrates. It gives you a clean, defined zone for handling rosin, hash,…</t>
        </is>
      </c>
      <c r="D71" s="9" t="inlineStr">
        <is>
          <t>Make a choice: 2 Pack</t>
        </is>
      </c>
      <c r="E71" s="13" t="inlineStr">
        <is>
          <t>PAD-02pc</t>
        </is>
      </c>
      <c r="F71" s="13" t="inlineStr">
        <is>
          <t>Other</t>
        </is>
      </c>
      <c r="G71" s="11" t="n">
        <v>2</v>
      </c>
      <c r="H71" s="13" t="inlineStr">
        <is>
          <t>pcs</t>
        </is>
      </c>
      <c r="I71" s="10" t="n">
        <v>16.99</v>
      </c>
      <c r="J71" s="10" t="n">
        <v>2.96</v>
      </c>
      <c r="K71" s="12">
        <f>IFERROR(I71/G71,"")</f>
        <v/>
      </c>
      <c r="L71" s="12">
        <f>IFERROR(J71/G71,"")</f>
        <v/>
      </c>
      <c r="M71" s="14">
        <f>IFERROR((I71-J71)/I71,"")</f>
        <v/>
      </c>
      <c r="N71" s="10" t="inlineStr"/>
      <c r="O71" s="11" t="inlineStr"/>
      <c r="P71" s="12">
        <f>IFERROR(N71/O71,"")</f>
        <v/>
      </c>
      <c r="Q71" s="10" t="inlineStr"/>
      <c r="R71" s="11" t="inlineStr"/>
      <c r="S71" s="12">
        <f>IFERROR(Q71/R71,"")</f>
        <v/>
      </c>
      <c r="T71" s="13" t="inlineStr"/>
      <c r="U71" s="9" t="inlineStr"/>
      <c r="V71" s="9" t="inlineStr"/>
      <c r="W71" s="13">
        <f>IF(G71="","",IF(G71&lt;=Assumptions!$B$9,Assumptions!$C$9,IF(G71&lt;=Assumptions!$B$10,Assumptions!$C$10,IF(G71&lt;=Assumptions!$B$11,Assumptions!$C$11,Assumptions!$C$12))))</f>
        <v/>
      </c>
      <c r="X71" s="13">
        <f>IF(F71="Branded",Assumptions!$B$5,IF(OR(F71="Packaging",F71="Bags"),Assumptions!$B$4,1))</f>
        <v/>
      </c>
      <c r="Y71" s="14">
        <f>IFERROR(VLOOKUP(F71,Assumptions!$A$16:$C$20,2,FALSE),0.40)</f>
        <v/>
      </c>
      <c r="Z71" s="14">
        <f>IFERROR(VLOOKUP(F71,Assumptions!$A$16:$C$20,3,FALSE),0.30)</f>
        <v/>
      </c>
      <c r="AA71" s="12">
        <f>IF(P71&lt;&gt;"",P71*X71*W71,IF(L71&lt;&gt;"",L71/(1-Y71),K71))</f>
        <v/>
      </c>
      <c r="AB71" s="12">
        <f>IF(L71&lt;&gt;"",L71/(1-Z71),"")</f>
        <v/>
      </c>
      <c r="AC71" s="12">
        <f>IF(AB71="",AA71,MAX(AA71,AB71))</f>
        <v/>
      </c>
      <c r="AD71" s="10">
        <f>IF(AC71="","",AC71*G71)</f>
        <v/>
      </c>
      <c r="AE71" s="10">
        <f>IF(AD71="","",ROUNDUP(AD71,0)-0.01)</f>
        <v/>
      </c>
      <c r="AF71" s="9">
        <f>IF(P71&lt;&gt;"","Competitor-based",IF(L71&lt;&gt;"","Cost+margin","Needs review"))</f>
        <v/>
      </c>
    </row>
    <row r="72" ht="46" customHeight="1">
      <c r="A72" s="13" t="inlineStr">
        <is>
          <t>slick-pad</t>
        </is>
      </c>
      <c r="B72" s="9" t="inlineStr">
        <is>
          <t>Slick® Pad</t>
        </is>
      </c>
      <c r="C72" s="9" t="inlineStr">
        <is>
          <t>The Slick® Pad is Oil Slick’s original nonstick silicone work surface, built for extractors, dabbers, and anyone who’s constantly fighting sticky concentrates. It gives you a clean, defined zone for handling rosin, hash,…</t>
        </is>
      </c>
      <c r="D72" s="9" t="inlineStr">
        <is>
          <t>Make a choice: Box of 12 Slick® Pads</t>
        </is>
      </c>
      <c r="E72" s="13" t="inlineStr">
        <is>
          <t>PAD-02</t>
        </is>
      </c>
      <c r="F72" s="13" t="inlineStr">
        <is>
          <t>Other</t>
        </is>
      </c>
      <c r="G72" s="11" t="n">
        <v>12</v>
      </c>
      <c r="H72" s="13" t="inlineStr">
        <is>
          <t>pcs</t>
        </is>
      </c>
      <c r="I72" s="10" t="n">
        <v>29.99</v>
      </c>
      <c r="J72" s="10" t="n">
        <v>35.59</v>
      </c>
      <c r="K72" s="12">
        <f>IFERROR(I72/G72,"")</f>
        <v/>
      </c>
      <c r="L72" s="12">
        <f>IFERROR(J72/G72,"")</f>
        <v/>
      </c>
      <c r="M72" s="14">
        <f>IFERROR((I72-J72)/I72,"")</f>
        <v/>
      </c>
      <c r="N72" s="10" t="inlineStr"/>
      <c r="O72" s="11" t="inlineStr"/>
      <c r="P72" s="12">
        <f>IFERROR(N72/O72,"")</f>
        <v/>
      </c>
      <c r="Q72" s="10" t="inlineStr"/>
      <c r="R72" s="11" t="inlineStr"/>
      <c r="S72" s="12">
        <f>IFERROR(Q72/R72,"")</f>
        <v/>
      </c>
      <c r="T72" s="13" t="inlineStr"/>
      <c r="U72" s="9" t="inlineStr"/>
      <c r="V72" s="9" t="inlineStr"/>
      <c r="W72" s="13">
        <f>IF(G72="","",IF(G72&lt;=Assumptions!$B$9,Assumptions!$C$9,IF(G72&lt;=Assumptions!$B$10,Assumptions!$C$10,IF(G72&lt;=Assumptions!$B$11,Assumptions!$C$11,Assumptions!$C$12))))</f>
        <v/>
      </c>
      <c r="X72" s="13">
        <f>IF(F72="Branded",Assumptions!$B$5,IF(OR(F72="Packaging",F72="Bags"),Assumptions!$B$4,1))</f>
        <v/>
      </c>
      <c r="Y72" s="14">
        <f>IFERROR(VLOOKUP(F72,Assumptions!$A$16:$C$20,2,FALSE),0.40)</f>
        <v/>
      </c>
      <c r="Z72" s="14">
        <f>IFERROR(VLOOKUP(F72,Assumptions!$A$16:$C$20,3,FALSE),0.30)</f>
        <v/>
      </c>
      <c r="AA72" s="12">
        <f>IF(P72&lt;&gt;"",P72*X72*W72,IF(L72&lt;&gt;"",L72/(1-Y72),K72))</f>
        <v/>
      </c>
      <c r="AB72" s="12">
        <f>IF(L72&lt;&gt;"",L72/(1-Z72),"")</f>
        <v/>
      </c>
      <c r="AC72" s="12">
        <f>IF(AB72="",AA72,MAX(AA72,AB72))</f>
        <v/>
      </c>
      <c r="AD72" s="10">
        <f>IF(AC72="","",AC72*G72)</f>
        <v/>
      </c>
      <c r="AE72" s="10">
        <f>IF(AD72="","",ROUNDUP(AD72,0)-0.01)</f>
        <v/>
      </c>
      <c r="AF72" s="9">
        <f>IF(P72&lt;&gt;"","Competitor-based",IF(L72&lt;&gt;"","Cost+margin","Needs review"))</f>
        <v/>
      </c>
    </row>
    <row r="73" ht="46" customHeight="1">
      <c r="A73" s="13" t="inlineStr">
        <is>
          <t>slick-pad</t>
        </is>
      </c>
      <c r="B73" s="9" t="inlineStr">
        <is>
          <t>Slick® Pad</t>
        </is>
      </c>
      <c r="C73" s="9" t="inlineStr">
        <is>
          <t>The Slick® Pad is Oil Slick’s original nonstick silicone work surface, built for extractors, dabbers, and anyone who’s constantly fighting sticky concentrates. It gives you a clean, defined zone for handling rosin, hash,…</t>
        </is>
      </c>
      <c r="D73" s="9" t="inlineStr">
        <is>
          <t>Make a choice: Case of 48 Slick® Pads</t>
        </is>
      </c>
      <c r="E73" s="13" t="inlineStr">
        <is>
          <t>PAD-03</t>
        </is>
      </c>
      <c r="F73" s="13" t="inlineStr">
        <is>
          <t>Other</t>
        </is>
      </c>
      <c r="G73" s="11" t="n">
        <v>48</v>
      </c>
      <c r="H73" s="13" t="inlineStr">
        <is>
          <t>pcs</t>
        </is>
      </c>
      <c r="I73" s="10" t="n">
        <v>29.99</v>
      </c>
      <c r="J73" s="10" t="n">
        <v>142.08</v>
      </c>
      <c r="K73" s="12">
        <f>IFERROR(I73/G73,"")</f>
        <v/>
      </c>
      <c r="L73" s="12">
        <f>IFERROR(J73/G73,"")</f>
        <v/>
      </c>
      <c r="M73" s="14">
        <f>IFERROR((I73-J73)/I73,"")</f>
        <v/>
      </c>
      <c r="N73" s="10" t="inlineStr"/>
      <c r="O73" s="11" t="inlineStr"/>
      <c r="P73" s="12">
        <f>IFERROR(N73/O73,"")</f>
        <v/>
      </c>
      <c r="Q73" s="10" t="inlineStr"/>
      <c r="R73" s="11" t="inlineStr"/>
      <c r="S73" s="12">
        <f>IFERROR(Q73/R73,"")</f>
        <v/>
      </c>
      <c r="T73" s="13" t="inlineStr"/>
      <c r="U73" s="9" t="inlineStr"/>
      <c r="V73" s="9" t="inlineStr"/>
      <c r="W73" s="13">
        <f>IF(G73="","",IF(G73&lt;=Assumptions!$B$9,Assumptions!$C$9,IF(G73&lt;=Assumptions!$B$10,Assumptions!$C$10,IF(G73&lt;=Assumptions!$B$11,Assumptions!$C$11,Assumptions!$C$12))))</f>
        <v/>
      </c>
      <c r="X73" s="13">
        <f>IF(F73="Branded",Assumptions!$B$5,IF(OR(F73="Packaging",F73="Bags"),Assumptions!$B$4,1))</f>
        <v/>
      </c>
      <c r="Y73" s="14">
        <f>IFERROR(VLOOKUP(F73,Assumptions!$A$16:$C$20,2,FALSE),0.40)</f>
        <v/>
      </c>
      <c r="Z73" s="14">
        <f>IFERROR(VLOOKUP(F73,Assumptions!$A$16:$C$20,3,FALSE),0.30)</f>
        <v/>
      </c>
      <c r="AA73" s="12">
        <f>IF(P73&lt;&gt;"",P73*X73*W73,IF(L73&lt;&gt;"",L73/(1-Y73),K73))</f>
        <v/>
      </c>
      <c r="AB73" s="12">
        <f>IF(L73&lt;&gt;"",L73/(1-Z73),"")</f>
        <v/>
      </c>
      <c r="AC73" s="12">
        <f>IF(AB73="",AA73,MAX(AA73,AB73))</f>
        <v/>
      </c>
      <c r="AD73" s="10">
        <f>IF(AC73="","",AC73*G73)</f>
        <v/>
      </c>
      <c r="AE73" s="10">
        <f>IF(AD73="","",ROUNDUP(AD73,0)-0.01)</f>
        <v/>
      </c>
      <c r="AF73" s="9">
        <f>IF(P73&lt;&gt;"","Competitor-based",IF(L73&lt;&gt;"","Cost+margin","Needs review"))</f>
        <v/>
      </c>
    </row>
    <row r="74" ht="46" customHeight="1">
      <c r="A74" s="13" t="inlineStr">
        <is>
          <t>slick-slab</t>
        </is>
      </c>
      <c r="B74" s="9" t="inlineStr">
        <is>
          <t>Slick® Slab</t>
        </is>
      </c>
      <c r="C74" s="9" t="inlineStr">
        <is>
          <t>The Slick® Slab is an extra-large nonstick silicone pad built for extractors, dab bars, and glass collectors who need a serious work surface. It turns any table, press bench, or counter into a cushioned, easy-to-clean zo…</t>
        </is>
      </c>
      <c r="D74" s="9" t="inlineStr">
        <is>
          <t>Make a choice: Single Slick® Slab</t>
        </is>
      </c>
      <c r="E74" s="13" t="inlineStr">
        <is>
          <t>SLAB-01</t>
        </is>
      </c>
      <c r="F74" s="13" t="inlineStr">
        <is>
          <t>Other</t>
        </is>
      </c>
      <c r="G74" s="11" t="n">
        <v>1</v>
      </c>
      <c r="H74" s="13" t="inlineStr">
        <is>
          <t>pcs</t>
        </is>
      </c>
      <c r="I74" s="10" t="n">
        <v>24.99</v>
      </c>
      <c r="J74" s="10" t="n">
        <v>18.56</v>
      </c>
      <c r="K74" s="12">
        <f>IFERROR(I74/G74,"")</f>
        <v/>
      </c>
      <c r="L74" s="12">
        <f>IFERROR(J74/G74,"")</f>
        <v/>
      </c>
      <c r="M74" s="14">
        <f>IFERROR((I74-J74)/I74,"")</f>
        <v/>
      </c>
      <c r="N74" s="10" t="inlineStr"/>
      <c r="O74" s="11" t="inlineStr"/>
      <c r="P74" s="12">
        <f>IFERROR(N74/O74,"")</f>
        <v/>
      </c>
      <c r="Q74" s="10" t="inlineStr"/>
      <c r="R74" s="11" t="inlineStr"/>
      <c r="S74" s="12">
        <f>IFERROR(Q74/R74,"")</f>
        <v/>
      </c>
      <c r="T74" s="13" t="inlineStr"/>
      <c r="U74" s="9" t="inlineStr"/>
      <c r="V74" s="9" t="inlineStr"/>
      <c r="W74" s="13">
        <f>IF(G74="","",IF(G74&lt;=Assumptions!$B$9,Assumptions!$C$9,IF(G74&lt;=Assumptions!$B$10,Assumptions!$C$10,IF(G74&lt;=Assumptions!$B$11,Assumptions!$C$11,Assumptions!$C$12))))</f>
        <v/>
      </c>
      <c r="X74" s="13">
        <f>IF(F74="Branded",Assumptions!$B$5,IF(OR(F74="Packaging",F74="Bags"),Assumptions!$B$4,1))</f>
        <v/>
      </c>
      <c r="Y74" s="14">
        <f>IFERROR(VLOOKUP(F74,Assumptions!$A$16:$C$20,2,FALSE),0.40)</f>
        <v/>
      </c>
      <c r="Z74" s="14">
        <f>IFERROR(VLOOKUP(F74,Assumptions!$A$16:$C$20,3,FALSE),0.30)</f>
        <v/>
      </c>
      <c r="AA74" s="12">
        <f>IF(P74&lt;&gt;"",P74*X74*W74,IF(L74&lt;&gt;"",L74/(1-Y74),K74))</f>
        <v/>
      </c>
      <c r="AB74" s="12">
        <f>IF(L74&lt;&gt;"",L74/(1-Z74),"")</f>
        <v/>
      </c>
      <c r="AC74" s="12">
        <f>IF(AB74="",AA74,MAX(AA74,AB74))</f>
        <v/>
      </c>
      <c r="AD74" s="10">
        <f>IF(AC74="","",AC74*G74)</f>
        <v/>
      </c>
      <c r="AE74" s="10">
        <f>IF(AD74="","",ROUNDUP(AD74,0)-0.01)</f>
        <v/>
      </c>
      <c r="AF74" s="9">
        <f>IF(P74&lt;&gt;"","Competitor-based",IF(L74&lt;&gt;"","Cost+margin","Needs review"))</f>
        <v/>
      </c>
    </row>
    <row r="75" ht="46" customHeight="1">
      <c r="A75" s="13" t="inlineStr">
        <is>
          <t>slick-slab</t>
        </is>
      </c>
      <c r="B75" s="9" t="inlineStr">
        <is>
          <t>Slick® Slab</t>
        </is>
      </c>
      <c r="C75" s="9" t="inlineStr">
        <is>
          <t>The Slick® Slab is an extra-large nonstick silicone pad built for extractors, dab bars, and glass collectors who need a serious work surface. It turns any table, press bench, or counter into a cushioned, easy-to-clean zo…</t>
        </is>
      </c>
      <c r="D75" s="9" t="inlineStr">
        <is>
          <t>Make a choice: 2 Pack</t>
        </is>
      </c>
      <c r="E75" s="13" t="inlineStr">
        <is>
          <t>SLAB-02pc</t>
        </is>
      </c>
      <c r="F75" s="13" t="inlineStr">
        <is>
          <t>Other</t>
        </is>
      </c>
      <c r="G75" s="11" t="n">
        <v>2</v>
      </c>
      <c r="H75" s="13" t="inlineStr">
        <is>
          <t>pcs</t>
        </is>
      </c>
      <c r="I75" s="10" t="n">
        <v>59.99</v>
      </c>
      <c r="J75" s="10" t="n">
        <v>18.56</v>
      </c>
      <c r="K75" s="12">
        <f>IFERROR(I75/G75,"")</f>
        <v/>
      </c>
      <c r="L75" s="12">
        <f>IFERROR(J75/G75,"")</f>
        <v/>
      </c>
      <c r="M75" s="14">
        <f>IFERROR((I75-J75)/I75,"")</f>
        <v/>
      </c>
      <c r="N75" s="10" t="inlineStr"/>
      <c r="O75" s="11" t="inlineStr"/>
      <c r="P75" s="12">
        <f>IFERROR(N75/O75,"")</f>
        <v/>
      </c>
      <c r="Q75" s="10" t="inlineStr"/>
      <c r="R75" s="11" t="inlineStr"/>
      <c r="S75" s="12">
        <f>IFERROR(Q75/R75,"")</f>
        <v/>
      </c>
      <c r="T75" s="13" t="inlineStr"/>
      <c r="U75" s="9" t="inlineStr"/>
      <c r="V75" s="9" t="inlineStr"/>
      <c r="W75" s="13">
        <f>IF(G75="","",IF(G75&lt;=Assumptions!$B$9,Assumptions!$C$9,IF(G75&lt;=Assumptions!$B$10,Assumptions!$C$10,IF(G75&lt;=Assumptions!$B$11,Assumptions!$C$11,Assumptions!$C$12))))</f>
        <v/>
      </c>
      <c r="X75" s="13">
        <f>IF(F75="Branded",Assumptions!$B$5,IF(OR(F75="Packaging",F75="Bags"),Assumptions!$B$4,1))</f>
        <v/>
      </c>
      <c r="Y75" s="14">
        <f>IFERROR(VLOOKUP(F75,Assumptions!$A$16:$C$20,2,FALSE),0.40)</f>
        <v/>
      </c>
      <c r="Z75" s="14">
        <f>IFERROR(VLOOKUP(F75,Assumptions!$A$16:$C$20,3,FALSE),0.30)</f>
        <v/>
      </c>
      <c r="AA75" s="12">
        <f>IF(P75&lt;&gt;"",P75*X75*W75,IF(L75&lt;&gt;"",L75/(1-Y75),K75))</f>
        <v/>
      </c>
      <c r="AB75" s="12">
        <f>IF(L75&lt;&gt;"",L75/(1-Z75),"")</f>
        <v/>
      </c>
      <c r="AC75" s="12">
        <f>IF(AB75="",AA75,MAX(AA75,AB75))</f>
        <v/>
      </c>
      <c r="AD75" s="10">
        <f>IF(AC75="","",AC75*G75)</f>
        <v/>
      </c>
      <c r="AE75" s="10">
        <f>IF(AD75="","",ROUNDUP(AD75,0)-0.01)</f>
        <v/>
      </c>
      <c r="AF75" s="9">
        <f>IF(P75&lt;&gt;"","Competitor-based",IF(L75&lt;&gt;"","Cost+margin","Needs review"))</f>
        <v/>
      </c>
    </row>
    <row r="76" ht="46" customHeight="1">
      <c r="A76" s="13" t="inlineStr">
        <is>
          <t>slick-slab</t>
        </is>
      </c>
      <c r="B76" s="9" t="inlineStr">
        <is>
          <t>Slick® Slab</t>
        </is>
      </c>
      <c r="C76" s="9" t="inlineStr">
        <is>
          <t>The Slick® Slab is an extra-large nonstick silicone pad built for extractors, dab bars, and glass collectors who need a serious work surface. It turns any table, press bench, or counter into a cushioned, easy-to-clean zo…</t>
        </is>
      </c>
      <c r="D76" s="9" t="inlineStr">
        <is>
          <t>Make a choice: Box of 9 Slick® Slabs</t>
        </is>
      </c>
      <c r="E76" s="13" t="inlineStr">
        <is>
          <t>SLAB-02</t>
        </is>
      </c>
      <c r="F76" s="13" t="inlineStr">
        <is>
          <t>Other</t>
        </is>
      </c>
      <c r="G76" s="11" t="n">
        <v>9</v>
      </c>
      <c r="H76" s="13" t="inlineStr">
        <is>
          <t>pcs</t>
        </is>
      </c>
      <c r="I76" s="10" t="n">
        <v>59.99</v>
      </c>
      <c r="J76" s="10" t="n">
        <v>167.08</v>
      </c>
      <c r="K76" s="12">
        <f>IFERROR(I76/G76,"")</f>
        <v/>
      </c>
      <c r="L76" s="12">
        <f>IFERROR(J76/G76,"")</f>
        <v/>
      </c>
      <c r="M76" s="14">
        <f>IFERROR((I76-J76)/I76,"")</f>
        <v/>
      </c>
      <c r="N76" s="10" t="inlineStr"/>
      <c r="O76" s="11" t="inlineStr"/>
      <c r="P76" s="12">
        <f>IFERROR(N76/O76,"")</f>
        <v/>
      </c>
      <c r="Q76" s="10" t="inlineStr"/>
      <c r="R76" s="11" t="inlineStr"/>
      <c r="S76" s="12">
        <f>IFERROR(Q76/R76,"")</f>
        <v/>
      </c>
      <c r="T76" s="13" t="inlineStr"/>
      <c r="U76" s="9" t="inlineStr"/>
      <c r="V76" s="9" t="inlineStr"/>
      <c r="W76" s="13">
        <f>IF(G76="","",IF(G76&lt;=Assumptions!$B$9,Assumptions!$C$9,IF(G76&lt;=Assumptions!$B$10,Assumptions!$C$10,IF(G76&lt;=Assumptions!$B$11,Assumptions!$C$11,Assumptions!$C$12))))</f>
        <v/>
      </c>
      <c r="X76" s="13">
        <f>IF(F76="Branded",Assumptions!$B$5,IF(OR(F76="Packaging",F76="Bags"),Assumptions!$B$4,1))</f>
        <v/>
      </c>
      <c r="Y76" s="14">
        <f>IFERROR(VLOOKUP(F76,Assumptions!$A$16:$C$20,2,FALSE),0.40)</f>
        <v/>
      </c>
      <c r="Z76" s="14">
        <f>IFERROR(VLOOKUP(F76,Assumptions!$A$16:$C$20,3,FALSE),0.30)</f>
        <v/>
      </c>
      <c r="AA76" s="12">
        <f>IF(P76&lt;&gt;"",P76*X76*W76,IF(L76&lt;&gt;"",L76/(1-Y76),K76))</f>
        <v/>
      </c>
      <c r="AB76" s="12">
        <f>IF(L76&lt;&gt;"",L76/(1-Z76),"")</f>
        <v/>
      </c>
      <c r="AC76" s="12">
        <f>IF(AB76="",AA76,MAX(AA76,AB76))</f>
        <v/>
      </c>
      <c r="AD76" s="10">
        <f>IF(AC76="","",AC76*G76)</f>
        <v/>
      </c>
      <c r="AE76" s="10">
        <f>IF(AD76="","",ROUNDUP(AD76,0)-0.01)</f>
        <v/>
      </c>
      <c r="AF76" s="9">
        <f>IF(P76&lt;&gt;"","Competitor-based",IF(L76&lt;&gt;"","Cost+margin","Needs review"))</f>
        <v/>
      </c>
    </row>
    <row r="77" ht="46" customHeight="1">
      <c r="A77" s="13" t="inlineStr">
        <is>
          <t>slick-slab</t>
        </is>
      </c>
      <c r="B77" s="9" t="inlineStr">
        <is>
          <t>Slick® Slab</t>
        </is>
      </c>
      <c r="C77" s="9" t="inlineStr">
        <is>
          <t>The Slick® Slab is an extra-large nonstick silicone pad built for extractors, dab bars, and glass collectors who need a serious work surface. It turns any table, press bench, or counter into a cushioned, easy-to-clean zo…</t>
        </is>
      </c>
      <c r="D77" s="9" t="inlineStr">
        <is>
          <t>Make a choice: Case of 18 Slick® Slabs</t>
        </is>
      </c>
      <c r="E77" s="13" t="inlineStr">
        <is>
          <t>SLAB-03</t>
        </is>
      </c>
      <c r="F77" s="13" t="inlineStr">
        <is>
          <t>Other</t>
        </is>
      </c>
      <c r="G77" s="11" t="n">
        <v>18</v>
      </c>
      <c r="H77" s="13" t="inlineStr">
        <is>
          <t>pcs</t>
        </is>
      </c>
      <c r="I77" s="10" t="n">
        <v>249.99</v>
      </c>
      <c r="J77" s="10" t="n">
        <v>334.15</v>
      </c>
      <c r="K77" s="12">
        <f>IFERROR(I77/G77,"")</f>
        <v/>
      </c>
      <c r="L77" s="12">
        <f>IFERROR(J77/G77,"")</f>
        <v/>
      </c>
      <c r="M77" s="14">
        <f>IFERROR((I77-J77)/I77,"")</f>
        <v/>
      </c>
      <c r="N77" s="10" t="inlineStr"/>
      <c r="O77" s="11" t="inlineStr"/>
      <c r="P77" s="12">
        <f>IFERROR(N77/O77,"")</f>
        <v/>
      </c>
      <c r="Q77" s="10" t="inlineStr"/>
      <c r="R77" s="11" t="inlineStr"/>
      <c r="S77" s="12">
        <f>IFERROR(Q77/R77,"")</f>
        <v/>
      </c>
      <c r="T77" s="13" t="inlineStr"/>
      <c r="U77" s="9" t="inlineStr"/>
      <c r="V77" s="9" t="inlineStr"/>
      <c r="W77" s="13">
        <f>IF(G77="","",IF(G77&lt;=Assumptions!$B$9,Assumptions!$C$9,IF(G77&lt;=Assumptions!$B$10,Assumptions!$C$10,IF(G77&lt;=Assumptions!$B$11,Assumptions!$C$11,Assumptions!$C$12))))</f>
        <v/>
      </c>
      <c r="X77" s="13">
        <f>IF(F77="Branded",Assumptions!$B$5,IF(OR(F77="Packaging",F77="Bags"),Assumptions!$B$4,1))</f>
        <v/>
      </c>
      <c r="Y77" s="14">
        <f>IFERROR(VLOOKUP(F77,Assumptions!$A$16:$C$20,2,FALSE),0.40)</f>
        <v/>
      </c>
      <c r="Z77" s="14">
        <f>IFERROR(VLOOKUP(F77,Assumptions!$A$16:$C$20,3,FALSE),0.30)</f>
        <v/>
      </c>
      <c r="AA77" s="12">
        <f>IF(P77&lt;&gt;"",P77*X77*W77,IF(L77&lt;&gt;"",L77/(1-Y77),K77))</f>
        <v/>
      </c>
      <c r="AB77" s="12">
        <f>IF(L77&lt;&gt;"",L77/(1-Z77),"")</f>
        <v/>
      </c>
      <c r="AC77" s="12">
        <f>IF(AB77="",AA77,MAX(AA77,AB77))</f>
        <v/>
      </c>
      <c r="AD77" s="10">
        <f>IF(AC77="","",AC77*G77)</f>
        <v/>
      </c>
      <c r="AE77" s="10">
        <f>IF(AD77="","",ROUNDUP(AD77,0)-0.01)</f>
        <v/>
      </c>
      <c r="AF77" s="9">
        <f>IF(P77&lt;&gt;"","Competitor-based",IF(L77&lt;&gt;"","Cost+margin","Needs review"))</f>
        <v/>
      </c>
    </row>
    <row r="78" ht="46" customHeight="1">
      <c r="A78" s="13" t="inlineStr">
        <is>
          <t>custom-printed-stickers-for-jars</t>
        </is>
      </c>
      <c r="B78" s="9" t="inlineStr">
        <is>
          <t>Custom stickers for lids</t>
        </is>
      </c>
      <c r="C78" s="9" t="inlineStr">
        <is>
          <t>Oil Slick Custom Stickers for Lids are made for brands, extract makers, and dispensaries who want their jars looking dialed-in and professional from every angle. Sized for 5ml lids and printed to your artwork, they give …</t>
        </is>
      </c>
      <c r="D78" s="9" t="inlineStr">
        <is>
          <t>Size: 5ml / Quantity: 100</t>
        </is>
      </c>
      <c r="E78" s="13" t="inlineStr">
        <is>
          <t>CUSTOMJARSTICKER 5ML 100</t>
        </is>
      </c>
      <c r="F78" s="13" t="inlineStr">
        <is>
          <t>Custom</t>
        </is>
      </c>
      <c r="G78" s="11" t="n">
        <v>100</v>
      </c>
      <c r="H78" s="13" t="inlineStr">
        <is>
          <t>pcs</t>
        </is>
      </c>
      <c r="I78" s="10" t="n">
        <v>64.98999999999999</v>
      </c>
      <c r="J78" s="10" t="inlineStr"/>
      <c r="K78" s="12">
        <f>IFERROR(I78/G78,"")</f>
        <v/>
      </c>
      <c r="L78" s="12">
        <f>IFERROR(J78/G78,"")</f>
        <v/>
      </c>
      <c r="M78" s="14">
        <f>IFERROR((I78-J78)/I78,"")</f>
        <v/>
      </c>
      <c r="N78" s="10" t="inlineStr"/>
      <c r="O78" s="11" t="inlineStr"/>
      <c r="P78" s="12">
        <f>IFERROR(N78/O78,"")</f>
        <v/>
      </c>
      <c r="Q78" s="10" t="inlineStr"/>
      <c r="R78" s="11" t="inlineStr"/>
      <c r="S78" s="12">
        <f>IFERROR(Q78/R78,"")</f>
        <v/>
      </c>
      <c r="T78" s="13" t="inlineStr"/>
      <c r="U78" s="9" t="inlineStr"/>
      <c r="V78" s="9" t="inlineStr"/>
      <c r="W78" s="13">
        <f>IF(G78="","",IF(G78&lt;=Assumptions!$B$9,Assumptions!$C$9,IF(G78&lt;=Assumptions!$B$10,Assumptions!$C$10,IF(G78&lt;=Assumptions!$B$11,Assumptions!$C$11,Assumptions!$C$12))))</f>
        <v/>
      </c>
      <c r="X78" s="13">
        <f>IF(F78="Branded",Assumptions!$B$5,IF(OR(F78="Packaging",F78="Bags"),Assumptions!$B$4,1))</f>
        <v/>
      </c>
      <c r="Y78" s="14">
        <f>IFERROR(VLOOKUP(F78,Assumptions!$A$16:$C$20,2,FALSE),0.40)</f>
        <v/>
      </c>
      <c r="Z78" s="14">
        <f>IFERROR(VLOOKUP(F78,Assumptions!$A$16:$C$20,3,FALSE),0.30)</f>
        <v/>
      </c>
      <c r="AA78" s="12">
        <f>IF(P78&lt;&gt;"",P78*X78*W78,IF(L78&lt;&gt;"",L78/(1-Y78),K78))</f>
        <v/>
      </c>
      <c r="AB78" s="12">
        <f>IF(L78&lt;&gt;"",L78/(1-Z78),"")</f>
        <v/>
      </c>
      <c r="AC78" s="12">
        <f>IF(AB78="",AA78,MAX(AA78,AB78))</f>
        <v/>
      </c>
      <c r="AD78" s="10">
        <f>IF(AC78="","",AC78*G78)</f>
        <v/>
      </c>
      <c r="AE78" s="10">
        <f>IF(AD78="","",ROUNDUP(AD78,0)-0.01)</f>
        <v/>
      </c>
      <c r="AF78" s="9">
        <f>IF(P78&lt;&gt;"","Competitor-based",IF(L78&lt;&gt;"","Cost+margin","Needs review"))</f>
        <v/>
      </c>
    </row>
    <row r="79" ht="46" customHeight="1">
      <c r="A79" s="13" t="inlineStr">
        <is>
          <t>custom-printed-stickers-for-jars</t>
        </is>
      </c>
      <c r="B79" s="9" t="inlineStr">
        <is>
          <t>Custom stickers for lids</t>
        </is>
      </c>
      <c r="C79" s="9" t="inlineStr">
        <is>
          <t>Oil Slick Custom Stickers for Lids are made for brands, extract makers, and dispensaries who want their jars looking dialed-in and professional from every angle. Sized for 5ml lids and printed to your artwork, they give …</t>
        </is>
      </c>
      <c r="D79" s="9" t="inlineStr">
        <is>
          <t>Size: 5ml / Quantity: 200</t>
        </is>
      </c>
      <c r="E79" s="13" t="inlineStr">
        <is>
          <t>CUSTOMJARSTICKER 5ML 200</t>
        </is>
      </c>
      <c r="F79" s="13" t="inlineStr">
        <is>
          <t>Custom</t>
        </is>
      </c>
      <c r="G79" s="11" t="n">
        <v>200</v>
      </c>
      <c r="H79" s="13" t="inlineStr">
        <is>
          <t>pcs</t>
        </is>
      </c>
      <c r="I79" s="10" t="n">
        <v>29.99</v>
      </c>
      <c r="J79" s="10" t="inlineStr"/>
      <c r="K79" s="12">
        <f>IFERROR(I79/G79,"")</f>
        <v/>
      </c>
      <c r="L79" s="12">
        <f>IFERROR(J79/G79,"")</f>
        <v/>
      </c>
      <c r="M79" s="14">
        <f>IFERROR((I79-J79)/I79,"")</f>
        <v/>
      </c>
      <c r="N79" s="10" t="inlineStr"/>
      <c r="O79" s="11" t="inlineStr"/>
      <c r="P79" s="12">
        <f>IFERROR(N79/O79,"")</f>
        <v/>
      </c>
      <c r="Q79" s="10" t="inlineStr"/>
      <c r="R79" s="11" t="inlineStr"/>
      <c r="S79" s="12">
        <f>IFERROR(Q79/R79,"")</f>
        <v/>
      </c>
      <c r="T79" s="13" t="inlineStr"/>
      <c r="U79" s="9" t="inlineStr"/>
      <c r="V79" s="9" t="inlineStr"/>
      <c r="W79" s="13">
        <f>IF(G79="","",IF(G79&lt;=Assumptions!$B$9,Assumptions!$C$9,IF(G79&lt;=Assumptions!$B$10,Assumptions!$C$10,IF(G79&lt;=Assumptions!$B$11,Assumptions!$C$11,Assumptions!$C$12))))</f>
        <v/>
      </c>
      <c r="X79" s="13">
        <f>IF(F79="Branded",Assumptions!$B$5,IF(OR(F79="Packaging",F79="Bags"),Assumptions!$B$4,1))</f>
        <v/>
      </c>
      <c r="Y79" s="14">
        <f>IFERROR(VLOOKUP(F79,Assumptions!$A$16:$C$20,2,FALSE),0.40)</f>
        <v/>
      </c>
      <c r="Z79" s="14">
        <f>IFERROR(VLOOKUP(F79,Assumptions!$A$16:$C$20,3,FALSE),0.30)</f>
        <v/>
      </c>
      <c r="AA79" s="12">
        <f>IF(P79&lt;&gt;"",P79*X79*W79,IF(L79&lt;&gt;"",L79/(1-Y79),K79))</f>
        <v/>
      </c>
      <c r="AB79" s="12">
        <f>IF(L79&lt;&gt;"",L79/(1-Z79),"")</f>
        <v/>
      </c>
      <c r="AC79" s="12">
        <f>IF(AB79="",AA79,MAX(AA79,AB79))</f>
        <v/>
      </c>
      <c r="AD79" s="10">
        <f>IF(AC79="","",AC79*G79)</f>
        <v/>
      </c>
      <c r="AE79" s="10">
        <f>IF(AD79="","",ROUNDUP(AD79,0)-0.01)</f>
        <v/>
      </c>
      <c r="AF79" s="9">
        <f>IF(P79&lt;&gt;"","Competitor-based",IF(L79&lt;&gt;"","Cost+margin","Needs review"))</f>
        <v/>
      </c>
    </row>
    <row r="80" ht="46" customHeight="1">
      <c r="A80" s="13" t="inlineStr">
        <is>
          <t>custom-printed-stickers-for-jars</t>
        </is>
      </c>
      <c r="B80" s="9" t="inlineStr">
        <is>
          <t>Custom stickers for lids</t>
        </is>
      </c>
      <c r="C80" s="9" t="inlineStr">
        <is>
          <t>Oil Slick Custom Stickers for Lids are made for brands, extract makers, and dispensaries who want their jars looking dialed-in and professional from every angle. Sized for 5ml lids and printed to your artwork, they give …</t>
        </is>
      </c>
      <c r="D80" s="9" t="inlineStr">
        <is>
          <t>Size: 5ml / Quantity: 500</t>
        </is>
      </c>
      <c r="E80" s="13" t="inlineStr">
        <is>
          <t>CUSTOMJARSTICKER 5ML 500</t>
        </is>
      </c>
      <c r="F80" s="13" t="inlineStr">
        <is>
          <t>Custom</t>
        </is>
      </c>
      <c r="G80" s="11" t="n">
        <v>500</v>
      </c>
      <c r="H80" s="13" t="inlineStr">
        <is>
          <t>pcs</t>
        </is>
      </c>
      <c r="I80" s="10" t="n">
        <v>69.98999999999999</v>
      </c>
      <c r="J80" s="10" t="inlineStr"/>
      <c r="K80" s="12">
        <f>IFERROR(I80/G80,"")</f>
        <v/>
      </c>
      <c r="L80" s="12">
        <f>IFERROR(J80/G80,"")</f>
        <v/>
      </c>
      <c r="M80" s="14">
        <f>IFERROR((I80-J80)/I80,"")</f>
        <v/>
      </c>
      <c r="N80" s="10" t="inlineStr"/>
      <c r="O80" s="11" t="inlineStr"/>
      <c r="P80" s="12">
        <f>IFERROR(N80/O80,"")</f>
        <v/>
      </c>
      <c r="Q80" s="10" t="inlineStr"/>
      <c r="R80" s="11" t="inlineStr"/>
      <c r="S80" s="12">
        <f>IFERROR(Q80/R80,"")</f>
        <v/>
      </c>
      <c r="T80" s="13" t="inlineStr"/>
      <c r="U80" s="9" t="inlineStr"/>
      <c r="V80" s="9" t="inlineStr"/>
      <c r="W80" s="13">
        <f>IF(G80="","",IF(G80&lt;=Assumptions!$B$9,Assumptions!$C$9,IF(G80&lt;=Assumptions!$B$10,Assumptions!$C$10,IF(G80&lt;=Assumptions!$B$11,Assumptions!$C$11,Assumptions!$C$12))))</f>
        <v/>
      </c>
      <c r="X80" s="13">
        <f>IF(F80="Branded",Assumptions!$B$5,IF(OR(F80="Packaging",F80="Bags"),Assumptions!$B$4,1))</f>
        <v/>
      </c>
      <c r="Y80" s="14">
        <f>IFERROR(VLOOKUP(F80,Assumptions!$A$16:$C$20,2,FALSE),0.40)</f>
        <v/>
      </c>
      <c r="Z80" s="14">
        <f>IFERROR(VLOOKUP(F80,Assumptions!$A$16:$C$20,3,FALSE),0.30)</f>
        <v/>
      </c>
      <c r="AA80" s="12">
        <f>IF(P80&lt;&gt;"",P80*X80*W80,IF(L80&lt;&gt;"",L80/(1-Y80),K80))</f>
        <v/>
      </c>
      <c r="AB80" s="12">
        <f>IF(L80&lt;&gt;"",L80/(1-Z80),"")</f>
        <v/>
      </c>
      <c r="AC80" s="12">
        <f>IF(AB80="",AA80,MAX(AA80,AB80))</f>
        <v/>
      </c>
      <c r="AD80" s="10">
        <f>IF(AC80="","",AC80*G80)</f>
        <v/>
      </c>
      <c r="AE80" s="10">
        <f>IF(AD80="","",ROUNDUP(AD80,0)-0.01)</f>
        <v/>
      </c>
      <c r="AF80" s="9">
        <f>IF(P80&lt;&gt;"","Competitor-based",IF(L80&lt;&gt;"","Cost+margin","Needs review"))</f>
        <v/>
      </c>
    </row>
    <row r="81" ht="46" customHeight="1">
      <c r="A81" s="13" t="inlineStr">
        <is>
          <t>custom-printed-stickers-for-jars</t>
        </is>
      </c>
      <c r="B81" s="9" t="inlineStr">
        <is>
          <t>Custom stickers for lids</t>
        </is>
      </c>
      <c r="C81" s="9" t="inlineStr">
        <is>
          <t>Oil Slick Custom Stickers for Lids are made for brands, extract makers, and dispensaries who want their jars looking dialed-in and professional from every angle. Sized for 5ml lids and printed to your artwork, they give …</t>
        </is>
      </c>
      <c r="D81" s="9" t="inlineStr">
        <is>
          <t>Size: 5ml / Quantity: 1000</t>
        </is>
      </c>
      <c r="E81" s="13" t="inlineStr">
        <is>
          <t>CUSTOMJARSTICKER 5ML 1000</t>
        </is>
      </c>
      <c r="F81" s="13" t="inlineStr">
        <is>
          <t>Custom</t>
        </is>
      </c>
      <c r="G81" s="11" t="n">
        <v>1000</v>
      </c>
      <c r="H81" s="13" t="inlineStr">
        <is>
          <t>pcs</t>
        </is>
      </c>
      <c r="I81" s="10" t="n">
        <v>34.99</v>
      </c>
      <c r="J81" s="10" t="inlineStr"/>
      <c r="K81" s="12">
        <f>IFERROR(I81/G81,"")</f>
        <v/>
      </c>
      <c r="L81" s="12">
        <f>IFERROR(J81/G81,"")</f>
        <v/>
      </c>
      <c r="M81" s="14">
        <f>IFERROR((I81-J81)/I81,"")</f>
        <v/>
      </c>
      <c r="N81" s="10" t="inlineStr"/>
      <c r="O81" s="11" t="inlineStr"/>
      <c r="P81" s="12">
        <f>IFERROR(N81/O81,"")</f>
        <v/>
      </c>
      <c r="Q81" s="10" t="inlineStr"/>
      <c r="R81" s="11" t="inlineStr"/>
      <c r="S81" s="12">
        <f>IFERROR(Q81/R81,"")</f>
        <v/>
      </c>
      <c r="T81" s="13" t="inlineStr"/>
      <c r="U81" s="9" t="inlineStr"/>
      <c r="V81" s="9" t="inlineStr"/>
      <c r="W81" s="13">
        <f>IF(G81="","",IF(G81&lt;=Assumptions!$B$9,Assumptions!$C$9,IF(G81&lt;=Assumptions!$B$10,Assumptions!$C$10,IF(G81&lt;=Assumptions!$B$11,Assumptions!$C$11,Assumptions!$C$12))))</f>
        <v/>
      </c>
      <c r="X81" s="13">
        <f>IF(F81="Branded",Assumptions!$B$5,IF(OR(F81="Packaging",F81="Bags"),Assumptions!$B$4,1))</f>
        <v/>
      </c>
      <c r="Y81" s="14">
        <f>IFERROR(VLOOKUP(F81,Assumptions!$A$16:$C$20,2,FALSE),0.40)</f>
        <v/>
      </c>
      <c r="Z81" s="14">
        <f>IFERROR(VLOOKUP(F81,Assumptions!$A$16:$C$20,3,FALSE),0.30)</f>
        <v/>
      </c>
      <c r="AA81" s="12">
        <f>IF(P81&lt;&gt;"",P81*X81*W81,IF(L81&lt;&gt;"",L81/(1-Y81),K81))</f>
        <v/>
      </c>
      <c r="AB81" s="12">
        <f>IF(L81&lt;&gt;"",L81/(1-Z81),"")</f>
        <v/>
      </c>
      <c r="AC81" s="12">
        <f>IF(AB81="",AA81,MAX(AA81,AB81))</f>
        <v/>
      </c>
      <c r="AD81" s="10">
        <f>IF(AC81="","",AC81*G81)</f>
        <v/>
      </c>
      <c r="AE81" s="10">
        <f>IF(AD81="","",ROUNDUP(AD81,0)-0.01)</f>
        <v/>
      </c>
      <c r="AF81" s="9">
        <f>IF(P81&lt;&gt;"","Competitor-based",IF(L81&lt;&gt;"","Cost+margin","Needs review"))</f>
        <v/>
      </c>
    </row>
    <row r="82" ht="46" customHeight="1">
      <c r="A82" s="13" t="inlineStr">
        <is>
          <t>custom-printed-stickers-for-jars</t>
        </is>
      </c>
      <c r="B82" s="9" t="inlineStr">
        <is>
          <t>Custom stickers for lids</t>
        </is>
      </c>
      <c r="C82" s="9" t="inlineStr">
        <is>
          <t>Oil Slick Custom Stickers for Lids are made for brands, extract makers, and dispensaries who want their jars looking dialed-in and professional from every angle. Sized for 5ml lids and printed to your artwork, they give …</t>
        </is>
      </c>
      <c r="D82" s="9" t="inlineStr">
        <is>
          <t>Size: 5ml / Quantity: 5000</t>
        </is>
      </c>
      <c r="E82" s="13" t="inlineStr">
        <is>
          <t>CUSTOMJARSTICKER 5ML 5000</t>
        </is>
      </c>
      <c r="F82" s="13" t="inlineStr">
        <is>
          <t>Custom</t>
        </is>
      </c>
      <c r="G82" s="11" t="n">
        <v>5000</v>
      </c>
      <c r="H82" s="13" t="inlineStr">
        <is>
          <t>pcs</t>
        </is>
      </c>
      <c r="I82" s="10" t="n">
        <v>199.99</v>
      </c>
      <c r="J82" s="10" t="inlineStr"/>
      <c r="K82" s="12">
        <f>IFERROR(I82/G82,"")</f>
        <v/>
      </c>
      <c r="L82" s="12">
        <f>IFERROR(J82/G82,"")</f>
        <v/>
      </c>
      <c r="M82" s="14">
        <f>IFERROR((I82-J82)/I82,"")</f>
        <v/>
      </c>
      <c r="N82" s="10" t="inlineStr"/>
      <c r="O82" s="11" t="inlineStr"/>
      <c r="P82" s="12">
        <f>IFERROR(N82/O82,"")</f>
        <v/>
      </c>
      <c r="Q82" s="10" t="inlineStr"/>
      <c r="R82" s="11" t="inlineStr"/>
      <c r="S82" s="12">
        <f>IFERROR(Q82/R82,"")</f>
        <v/>
      </c>
      <c r="T82" s="13" t="inlineStr"/>
      <c r="U82" s="9" t="inlineStr"/>
      <c r="V82" s="9" t="inlineStr"/>
      <c r="W82" s="13">
        <f>IF(G82="","",IF(G82&lt;=Assumptions!$B$9,Assumptions!$C$9,IF(G82&lt;=Assumptions!$B$10,Assumptions!$C$10,IF(G82&lt;=Assumptions!$B$11,Assumptions!$C$11,Assumptions!$C$12))))</f>
        <v/>
      </c>
      <c r="X82" s="13">
        <f>IF(F82="Branded",Assumptions!$B$5,IF(OR(F82="Packaging",F82="Bags"),Assumptions!$B$4,1))</f>
        <v/>
      </c>
      <c r="Y82" s="14">
        <f>IFERROR(VLOOKUP(F82,Assumptions!$A$16:$C$20,2,FALSE),0.40)</f>
        <v/>
      </c>
      <c r="Z82" s="14">
        <f>IFERROR(VLOOKUP(F82,Assumptions!$A$16:$C$20,3,FALSE),0.30)</f>
        <v/>
      </c>
      <c r="AA82" s="12">
        <f>IF(P82&lt;&gt;"",P82*X82*W82,IF(L82&lt;&gt;"",L82/(1-Y82),K82))</f>
        <v/>
      </c>
      <c r="AB82" s="12">
        <f>IF(L82&lt;&gt;"",L82/(1-Z82),"")</f>
        <v/>
      </c>
      <c r="AC82" s="12">
        <f>IF(AB82="",AA82,MAX(AA82,AB82))</f>
        <v/>
      </c>
      <c r="AD82" s="10">
        <f>IF(AC82="","",AC82*G82)</f>
        <v/>
      </c>
      <c r="AE82" s="10">
        <f>IF(AD82="","",ROUNDUP(AD82,0)-0.01)</f>
        <v/>
      </c>
      <c r="AF82" s="9">
        <f>IF(P82&lt;&gt;"","Competitor-based",IF(L82&lt;&gt;"","Cost+margin","Needs review"))</f>
        <v/>
      </c>
    </row>
    <row r="83" ht="46" customHeight="1">
      <c r="A83" s="13" t="inlineStr">
        <is>
          <t>custom-printed-stickers-for-jars</t>
        </is>
      </c>
      <c r="B83" s="9" t="inlineStr">
        <is>
          <t>Custom stickers for lids</t>
        </is>
      </c>
      <c r="C83" s="9" t="inlineStr">
        <is>
          <t>Oil Slick Custom Stickers for Lids are made for brands, extract makers, and dispensaries who want their jars looking dialed-in and professional from every angle. Sized for 5ml lids and printed to your artwork, they give …</t>
        </is>
      </c>
      <c r="D83" s="9" t="inlineStr">
        <is>
          <t>Size: 5ml / Quantity: 10000</t>
        </is>
      </c>
      <c r="E83" s="13" t="inlineStr">
        <is>
          <t>CUSTOMJARSTICKER 5ML 10000</t>
        </is>
      </c>
      <c r="F83" s="13" t="inlineStr">
        <is>
          <t>Custom</t>
        </is>
      </c>
      <c r="G83" s="11" t="n">
        <v>10000</v>
      </c>
      <c r="H83" s="13" t="inlineStr">
        <is>
          <t>pcs</t>
        </is>
      </c>
      <c r="I83" s="10" t="n">
        <v>64.98999999999999</v>
      </c>
      <c r="J83" s="10" t="inlineStr"/>
      <c r="K83" s="12">
        <f>IFERROR(I83/G83,"")</f>
        <v/>
      </c>
      <c r="L83" s="12">
        <f>IFERROR(J83/G83,"")</f>
        <v/>
      </c>
      <c r="M83" s="14">
        <f>IFERROR((I83-J83)/I83,"")</f>
        <v/>
      </c>
      <c r="N83" s="10" t="inlineStr"/>
      <c r="O83" s="11" t="inlineStr"/>
      <c r="P83" s="12">
        <f>IFERROR(N83/O83,"")</f>
        <v/>
      </c>
      <c r="Q83" s="10" t="inlineStr"/>
      <c r="R83" s="11" t="inlineStr"/>
      <c r="S83" s="12">
        <f>IFERROR(Q83/R83,"")</f>
        <v/>
      </c>
      <c r="T83" s="13" t="inlineStr"/>
      <c r="U83" s="9" t="inlineStr"/>
      <c r="V83" s="9" t="inlineStr"/>
      <c r="W83" s="13">
        <f>IF(G83="","",IF(G83&lt;=Assumptions!$B$9,Assumptions!$C$9,IF(G83&lt;=Assumptions!$B$10,Assumptions!$C$10,IF(G83&lt;=Assumptions!$B$11,Assumptions!$C$11,Assumptions!$C$12))))</f>
        <v/>
      </c>
      <c r="X83" s="13">
        <f>IF(F83="Branded",Assumptions!$B$5,IF(OR(F83="Packaging",F83="Bags"),Assumptions!$B$4,1))</f>
        <v/>
      </c>
      <c r="Y83" s="14">
        <f>IFERROR(VLOOKUP(F83,Assumptions!$A$16:$C$20,2,FALSE),0.40)</f>
        <v/>
      </c>
      <c r="Z83" s="14">
        <f>IFERROR(VLOOKUP(F83,Assumptions!$A$16:$C$20,3,FALSE),0.30)</f>
        <v/>
      </c>
      <c r="AA83" s="12">
        <f>IF(P83&lt;&gt;"",P83*X83*W83,IF(L83&lt;&gt;"",L83/(1-Y83),K83))</f>
        <v/>
      </c>
      <c r="AB83" s="12">
        <f>IF(L83&lt;&gt;"",L83/(1-Z83),"")</f>
        <v/>
      </c>
      <c r="AC83" s="12">
        <f>IF(AB83="",AA83,MAX(AA83,AB83))</f>
        <v/>
      </c>
      <c r="AD83" s="10">
        <f>IF(AC83="","",AC83*G83)</f>
        <v/>
      </c>
      <c r="AE83" s="10">
        <f>IF(AD83="","",ROUNDUP(AD83,0)-0.01)</f>
        <v/>
      </c>
      <c r="AF83" s="9">
        <f>IF(P83&lt;&gt;"","Competitor-based",IF(L83&lt;&gt;"","Cost+margin","Needs review"))</f>
        <v/>
      </c>
    </row>
    <row r="84" ht="46" customHeight="1">
      <c r="A84" s="13" t="inlineStr">
        <is>
          <t>custom-printed-stickers-for-jars</t>
        </is>
      </c>
      <c r="B84" s="9" t="inlineStr">
        <is>
          <t>Custom stickers for lids</t>
        </is>
      </c>
      <c r="C84" s="9" t="inlineStr">
        <is>
          <t>Oil Slick Custom Stickers for Lids are made for brands, extract makers, and dispensaries who want their jars looking dialed-in and professional from every angle. Sized for 5ml lids and printed to your artwork, they give …</t>
        </is>
      </c>
      <c r="D84" s="9" t="inlineStr">
        <is>
          <t>Size: 6ml / Quantity: 100</t>
        </is>
      </c>
      <c r="E84" s="13" t="inlineStr">
        <is>
          <t>CUSTOMJARSTICKER 6ML 100</t>
        </is>
      </c>
      <c r="F84" s="13" t="inlineStr">
        <is>
          <t>Custom</t>
        </is>
      </c>
      <c r="G84" s="11" t="n">
        <v>100</v>
      </c>
      <c r="H84" s="13" t="inlineStr">
        <is>
          <t>pcs</t>
        </is>
      </c>
      <c r="I84" s="10" t="n">
        <v>64.98999999999999</v>
      </c>
      <c r="J84" s="10" t="inlineStr"/>
      <c r="K84" s="12">
        <f>IFERROR(I84/G84,"")</f>
        <v/>
      </c>
      <c r="L84" s="12">
        <f>IFERROR(J84/G84,"")</f>
        <v/>
      </c>
      <c r="M84" s="14">
        <f>IFERROR((I84-J84)/I84,"")</f>
        <v/>
      </c>
      <c r="N84" s="10" t="inlineStr"/>
      <c r="O84" s="11" t="inlineStr"/>
      <c r="P84" s="12">
        <f>IFERROR(N84/O84,"")</f>
        <v/>
      </c>
      <c r="Q84" s="10" t="inlineStr"/>
      <c r="R84" s="11" t="inlineStr"/>
      <c r="S84" s="12">
        <f>IFERROR(Q84/R84,"")</f>
        <v/>
      </c>
      <c r="T84" s="13" t="inlineStr"/>
      <c r="U84" s="9" t="inlineStr"/>
      <c r="V84" s="9" t="inlineStr"/>
      <c r="W84" s="13">
        <f>IF(G84="","",IF(G84&lt;=Assumptions!$B$9,Assumptions!$C$9,IF(G84&lt;=Assumptions!$B$10,Assumptions!$C$10,IF(G84&lt;=Assumptions!$B$11,Assumptions!$C$11,Assumptions!$C$12))))</f>
        <v/>
      </c>
      <c r="X84" s="13">
        <f>IF(F84="Branded",Assumptions!$B$5,IF(OR(F84="Packaging",F84="Bags"),Assumptions!$B$4,1))</f>
        <v/>
      </c>
      <c r="Y84" s="14">
        <f>IFERROR(VLOOKUP(F84,Assumptions!$A$16:$C$20,2,FALSE),0.40)</f>
        <v/>
      </c>
      <c r="Z84" s="14">
        <f>IFERROR(VLOOKUP(F84,Assumptions!$A$16:$C$20,3,FALSE),0.30)</f>
        <v/>
      </c>
      <c r="AA84" s="12">
        <f>IF(P84&lt;&gt;"",P84*X84*W84,IF(L84&lt;&gt;"",L84/(1-Y84),K84))</f>
        <v/>
      </c>
      <c r="AB84" s="12">
        <f>IF(L84&lt;&gt;"",L84/(1-Z84),"")</f>
        <v/>
      </c>
      <c r="AC84" s="12">
        <f>IF(AB84="",AA84,MAX(AA84,AB84))</f>
        <v/>
      </c>
      <c r="AD84" s="10">
        <f>IF(AC84="","",AC84*G84)</f>
        <v/>
      </c>
      <c r="AE84" s="10">
        <f>IF(AD84="","",ROUNDUP(AD84,0)-0.01)</f>
        <v/>
      </c>
      <c r="AF84" s="9">
        <f>IF(P84&lt;&gt;"","Competitor-based",IF(L84&lt;&gt;"","Cost+margin","Needs review"))</f>
        <v/>
      </c>
    </row>
    <row r="85" ht="46" customHeight="1">
      <c r="A85" s="13" t="inlineStr">
        <is>
          <t>custom-printed-stickers-for-jars</t>
        </is>
      </c>
      <c r="B85" s="9" t="inlineStr">
        <is>
          <t>Custom stickers for lids</t>
        </is>
      </c>
      <c r="C85" s="9" t="inlineStr">
        <is>
          <t>Oil Slick Custom Stickers for Lids are made for brands, extract makers, and dispensaries who want their jars looking dialed-in and professional from every angle. Sized for 5ml lids and printed to your artwork, they give …</t>
        </is>
      </c>
      <c r="D85" s="9" t="inlineStr">
        <is>
          <t>Size: 6ml / Quantity: 200</t>
        </is>
      </c>
      <c r="E85" s="13" t="inlineStr">
        <is>
          <t>CUSTOMJARSTICKER 6ML 200</t>
        </is>
      </c>
      <c r="F85" s="13" t="inlineStr">
        <is>
          <t>Custom</t>
        </is>
      </c>
      <c r="G85" s="11" t="n">
        <v>200</v>
      </c>
      <c r="H85" s="13" t="inlineStr">
        <is>
          <t>pcs</t>
        </is>
      </c>
      <c r="I85" s="10" t="n">
        <v>24.99</v>
      </c>
      <c r="J85" s="10" t="inlineStr"/>
      <c r="K85" s="12">
        <f>IFERROR(I85/G85,"")</f>
        <v/>
      </c>
      <c r="L85" s="12">
        <f>IFERROR(J85/G85,"")</f>
        <v/>
      </c>
      <c r="M85" s="14">
        <f>IFERROR((I85-J85)/I85,"")</f>
        <v/>
      </c>
      <c r="N85" s="10" t="inlineStr"/>
      <c r="O85" s="11" t="inlineStr"/>
      <c r="P85" s="12">
        <f>IFERROR(N85/O85,"")</f>
        <v/>
      </c>
      <c r="Q85" s="10" t="inlineStr"/>
      <c r="R85" s="11" t="inlineStr"/>
      <c r="S85" s="12">
        <f>IFERROR(Q85/R85,"")</f>
        <v/>
      </c>
      <c r="T85" s="13" t="inlineStr"/>
      <c r="U85" s="9" t="inlineStr"/>
      <c r="V85" s="9" t="inlineStr"/>
      <c r="W85" s="13">
        <f>IF(G85="","",IF(G85&lt;=Assumptions!$B$9,Assumptions!$C$9,IF(G85&lt;=Assumptions!$B$10,Assumptions!$C$10,IF(G85&lt;=Assumptions!$B$11,Assumptions!$C$11,Assumptions!$C$12))))</f>
        <v/>
      </c>
      <c r="X85" s="13">
        <f>IF(F85="Branded",Assumptions!$B$5,IF(OR(F85="Packaging",F85="Bags"),Assumptions!$B$4,1))</f>
        <v/>
      </c>
      <c r="Y85" s="14">
        <f>IFERROR(VLOOKUP(F85,Assumptions!$A$16:$C$20,2,FALSE),0.40)</f>
        <v/>
      </c>
      <c r="Z85" s="14">
        <f>IFERROR(VLOOKUP(F85,Assumptions!$A$16:$C$20,3,FALSE),0.30)</f>
        <v/>
      </c>
      <c r="AA85" s="12">
        <f>IF(P85&lt;&gt;"",P85*X85*W85,IF(L85&lt;&gt;"",L85/(1-Y85),K85))</f>
        <v/>
      </c>
      <c r="AB85" s="12">
        <f>IF(L85&lt;&gt;"",L85/(1-Z85),"")</f>
        <v/>
      </c>
      <c r="AC85" s="12">
        <f>IF(AB85="",AA85,MAX(AA85,AB85))</f>
        <v/>
      </c>
      <c r="AD85" s="10">
        <f>IF(AC85="","",AC85*G85)</f>
        <v/>
      </c>
      <c r="AE85" s="10">
        <f>IF(AD85="","",ROUNDUP(AD85,0)-0.01)</f>
        <v/>
      </c>
      <c r="AF85" s="9">
        <f>IF(P85&lt;&gt;"","Competitor-based",IF(L85&lt;&gt;"","Cost+margin","Needs review"))</f>
        <v/>
      </c>
    </row>
    <row r="86" ht="46" customHeight="1">
      <c r="A86" s="13" t="inlineStr">
        <is>
          <t>custom-printed-stickers-for-jars</t>
        </is>
      </c>
      <c r="B86" s="9" t="inlineStr">
        <is>
          <t>Custom stickers for lids</t>
        </is>
      </c>
      <c r="C86" s="9" t="inlineStr">
        <is>
          <t>Oil Slick Custom Stickers for Lids are made for brands, extract makers, and dispensaries who want their jars looking dialed-in and professional from every angle. Sized for 5ml lids and printed to your artwork, they give …</t>
        </is>
      </c>
      <c r="D86" s="9" t="inlineStr">
        <is>
          <t>Size: 6ml / Quantity: 500</t>
        </is>
      </c>
      <c r="E86" s="13" t="inlineStr">
        <is>
          <t>CUSTOMJARSTICKER 6ML 500</t>
        </is>
      </c>
      <c r="F86" s="13" t="inlineStr">
        <is>
          <t>Custom</t>
        </is>
      </c>
      <c r="G86" s="11" t="n">
        <v>500</v>
      </c>
      <c r="H86" s="13" t="inlineStr">
        <is>
          <t>pcs</t>
        </is>
      </c>
      <c r="I86" s="10" t="n">
        <v>29.99</v>
      </c>
      <c r="J86" s="10" t="inlineStr"/>
      <c r="K86" s="12">
        <f>IFERROR(I86/G86,"")</f>
        <v/>
      </c>
      <c r="L86" s="12">
        <f>IFERROR(J86/G86,"")</f>
        <v/>
      </c>
      <c r="M86" s="14">
        <f>IFERROR((I86-J86)/I86,"")</f>
        <v/>
      </c>
      <c r="N86" s="10" t="inlineStr"/>
      <c r="O86" s="11" t="inlineStr"/>
      <c r="P86" s="12">
        <f>IFERROR(N86/O86,"")</f>
        <v/>
      </c>
      <c r="Q86" s="10" t="inlineStr"/>
      <c r="R86" s="11" t="inlineStr"/>
      <c r="S86" s="12">
        <f>IFERROR(Q86/R86,"")</f>
        <v/>
      </c>
      <c r="T86" s="13" t="inlineStr"/>
      <c r="U86" s="9" t="inlineStr"/>
      <c r="V86" s="9" t="inlineStr"/>
      <c r="W86" s="13">
        <f>IF(G86="","",IF(G86&lt;=Assumptions!$B$9,Assumptions!$C$9,IF(G86&lt;=Assumptions!$B$10,Assumptions!$C$10,IF(G86&lt;=Assumptions!$B$11,Assumptions!$C$11,Assumptions!$C$12))))</f>
        <v/>
      </c>
      <c r="X86" s="13">
        <f>IF(F86="Branded",Assumptions!$B$5,IF(OR(F86="Packaging",F86="Bags"),Assumptions!$B$4,1))</f>
        <v/>
      </c>
      <c r="Y86" s="14">
        <f>IFERROR(VLOOKUP(F86,Assumptions!$A$16:$C$20,2,FALSE),0.40)</f>
        <v/>
      </c>
      <c r="Z86" s="14">
        <f>IFERROR(VLOOKUP(F86,Assumptions!$A$16:$C$20,3,FALSE),0.30)</f>
        <v/>
      </c>
      <c r="AA86" s="12">
        <f>IF(P86&lt;&gt;"",P86*X86*W86,IF(L86&lt;&gt;"",L86/(1-Y86),K86))</f>
        <v/>
      </c>
      <c r="AB86" s="12">
        <f>IF(L86&lt;&gt;"",L86/(1-Z86),"")</f>
        <v/>
      </c>
      <c r="AC86" s="12">
        <f>IF(AB86="",AA86,MAX(AA86,AB86))</f>
        <v/>
      </c>
      <c r="AD86" s="10">
        <f>IF(AC86="","",AC86*G86)</f>
        <v/>
      </c>
      <c r="AE86" s="10">
        <f>IF(AD86="","",ROUNDUP(AD86,0)-0.01)</f>
        <v/>
      </c>
      <c r="AF86" s="9">
        <f>IF(P86&lt;&gt;"","Competitor-based",IF(L86&lt;&gt;"","Cost+margin","Needs review"))</f>
        <v/>
      </c>
    </row>
    <row r="87" ht="46" customHeight="1">
      <c r="A87" s="13" t="inlineStr">
        <is>
          <t>custom-printed-stickers-for-jars</t>
        </is>
      </c>
      <c r="B87" s="9" t="inlineStr">
        <is>
          <t>Custom stickers for lids</t>
        </is>
      </c>
      <c r="C87" s="9" t="inlineStr">
        <is>
          <t>Oil Slick Custom Stickers for Lids are made for brands, extract makers, and dispensaries who want their jars looking dialed-in and professional from every angle. Sized for 5ml lids and printed to your artwork, they give …</t>
        </is>
      </c>
      <c r="D87" s="9" t="inlineStr">
        <is>
          <t>Size: 6ml / Quantity: 1000</t>
        </is>
      </c>
      <c r="E87" s="13" t="inlineStr">
        <is>
          <t>CUSTOMJARSTICKER 6ML 1000</t>
        </is>
      </c>
      <c r="F87" s="13" t="inlineStr">
        <is>
          <t>Custom</t>
        </is>
      </c>
      <c r="G87" s="11" t="n">
        <v>1000</v>
      </c>
      <c r="H87" s="13" t="inlineStr">
        <is>
          <t>pcs</t>
        </is>
      </c>
      <c r="I87" s="10" t="n">
        <v>64.98999999999999</v>
      </c>
      <c r="J87" s="10" t="inlineStr"/>
      <c r="K87" s="12">
        <f>IFERROR(I87/G87,"")</f>
        <v/>
      </c>
      <c r="L87" s="12">
        <f>IFERROR(J87/G87,"")</f>
        <v/>
      </c>
      <c r="M87" s="14">
        <f>IFERROR((I87-J87)/I87,"")</f>
        <v/>
      </c>
      <c r="N87" s="10" t="inlineStr"/>
      <c r="O87" s="11" t="inlineStr"/>
      <c r="P87" s="12">
        <f>IFERROR(N87/O87,"")</f>
        <v/>
      </c>
      <c r="Q87" s="10" t="inlineStr"/>
      <c r="R87" s="11" t="inlineStr"/>
      <c r="S87" s="12">
        <f>IFERROR(Q87/R87,"")</f>
        <v/>
      </c>
      <c r="T87" s="13" t="inlineStr"/>
      <c r="U87" s="9" t="inlineStr"/>
      <c r="V87" s="9" t="inlineStr"/>
      <c r="W87" s="13">
        <f>IF(G87="","",IF(G87&lt;=Assumptions!$B$9,Assumptions!$C$9,IF(G87&lt;=Assumptions!$B$10,Assumptions!$C$10,IF(G87&lt;=Assumptions!$B$11,Assumptions!$C$11,Assumptions!$C$12))))</f>
        <v/>
      </c>
      <c r="X87" s="13">
        <f>IF(F87="Branded",Assumptions!$B$5,IF(OR(F87="Packaging",F87="Bags"),Assumptions!$B$4,1))</f>
        <v/>
      </c>
      <c r="Y87" s="14">
        <f>IFERROR(VLOOKUP(F87,Assumptions!$A$16:$C$20,2,FALSE),0.40)</f>
        <v/>
      </c>
      <c r="Z87" s="14">
        <f>IFERROR(VLOOKUP(F87,Assumptions!$A$16:$C$20,3,FALSE),0.30)</f>
        <v/>
      </c>
      <c r="AA87" s="12">
        <f>IF(P87&lt;&gt;"",P87*X87*W87,IF(L87&lt;&gt;"",L87/(1-Y87),K87))</f>
        <v/>
      </c>
      <c r="AB87" s="12">
        <f>IF(L87&lt;&gt;"",L87/(1-Z87),"")</f>
        <v/>
      </c>
      <c r="AC87" s="12">
        <f>IF(AB87="",AA87,MAX(AA87,AB87))</f>
        <v/>
      </c>
      <c r="AD87" s="10">
        <f>IF(AC87="","",AC87*G87)</f>
        <v/>
      </c>
      <c r="AE87" s="10">
        <f>IF(AD87="","",ROUNDUP(AD87,0)-0.01)</f>
        <v/>
      </c>
      <c r="AF87" s="9">
        <f>IF(P87&lt;&gt;"","Competitor-based",IF(L87&lt;&gt;"","Cost+margin","Needs review"))</f>
        <v/>
      </c>
    </row>
    <row r="88" ht="46" customHeight="1">
      <c r="A88" s="13" t="inlineStr">
        <is>
          <t>custom-printed-stickers-for-jars</t>
        </is>
      </c>
      <c r="B88" s="9" t="inlineStr">
        <is>
          <t>Custom stickers for lids</t>
        </is>
      </c>
      <c r="C88" s="9" t="inlineStr">
        <is>
          <t>Oil Slick Custom Stickers for Lids are made for brands, extract makers, and dispensaries who want their jars looking dialed-in and professional from every angle. Sized for 5ml lids and printed to your artwork, they give …</t>
        </is>
      </c>
      <c r="D88" s="9" t="inlineStr">
        <is>
          <t>Size: 6ml / Quantity: 5000</t>
        </is>
      </c>
      <c r="E88" s="13" t="inlineStr">
        <is>
          <t>CUSTOMJARSTICKER 6ML 5000</t>
        </is>
      </c>
      <c r="F88" s="13" t="inlineStr">
        <is>
          <t>Custom</t>
        </is>
      </c>
      <c r="G88" s="11" t="n">
        <v>5000</v>
      </c>
      <c r="H88" s="13" t="inlineStr">
        <is>
          <t>pcs</t>
        </is>
      </c>
      <c r="I88" s="10" t="n">
        <v>89.98999999999999</v>
      </c>
      <c r="J88" s="10" t="inlineStr"/>
      <c r="K88" s="12">
        <f>IFERROR(I88/G88,"")</f>
        <v/>
      </c>
      <c r="L88" s="12">
        <f>IFERROR(J88/G88,"")</f>
        <v/>
      </c>
      <c r="M88" s="14">
        <f>IFERROR((I88-J88)/I88,"")</f>
        <v/>
      </c>
      <c r="N88" s="10" t="inlineStr"/>
      <c r="O88" s="11" t="inlineStr"/>
      <c r="P88" s="12">
        <f>IFERROR(N88/O88,"")</f>
        <v/>
      </c>
      <c r="Q88" s="10" t="inlineStr"/>
      <c r="R88" s="11" t="inlineStr"/>
      <c r="S88" s="12">
        <f>IFERROR(Q88/R88,"")</f>
        <v/>
      </c>
      <c r="T88" s="13" t="inlineStr"/>
      <c r="U88" s="9" t="inlineStr"/>
      <c r="V88" s="9" t="inlineStr"/>
      <c r="W88" s="13">
        <f>IF(G88="","",IF(G88&lt;=Assumptions!$B$9,Assumptions!$C$9,IF(G88&lt;=Assumptions!$B$10,Assumptions!$C$10,IF(G88&lt;=Assumptions!$B$11,Assumptions!$C$11,Assumptions!$C$12))))</f>
        <v/>
      </c>
      <c r="X88" s="13">
        <f>IF(F88="Branded",Assumptions!$B$5,IF(OR(F88="Packaging",F88="Bags"),Assumptions!$B$4,1))</f>
        <v/>
      </c>
      <c r="Y88" s="14">
        <f>IFERROR(VLOOKUP(F88,Assumptions!$A$16:$C$20,2,FALSE),0.40)</f>
        <v/>
      </c>
      <c r="Z88" s="14">
        <f>IFERROR(VLOOKUP(F88,Assumptions!$A$16:$C$20,3,FALSE),0.30)</f>
        <v/>
      </c>
      <c r="AA88" s="12">
        <f>IF(P88&lt;&gt;"",P88*X88*W88,IF(L88&lt;&gt;"",L88/(1-Y88),K88))</f>
        <v/>
      </c>
      <c r="AB88" s="12">
        <f>IF(L88&lt;&gt;"",L88/(1-Z88),"")</f>
        <v/>
      </c>
      <c r="AC88" s="12">
        <f>IF(AB88="",AA88,MAX(AA88,AB88))</f>
        <v/>
      </c>
      <c r="AD88" s="10">
        <f>IF(AC88="","",AC88*G88)</f>
        <v/>
      </c>
      <c r="AE88" s="10">
        <f>IF(AD88="","",ROUNDUP(AD88,0)-0.01)</f>
        <v/>
      </c>
      <c r="AF88" s="9">
        <f>IF(P88&lt;&gt;"","Competitor-based",IF(L88&lt;&gt;"","Cost+margin","Needs review"))</f>
        <v/>
      </c>
    </row>
    <row r="89" ht="46" customHeight="1">
      <c r="A89" s="13" t="inlineStr">
        <is>
          <t>custom-printed-stickers-for-jars</t>
        </is>
      </c>
      <c r="B89" s="9" t="inlineStr">
        <is>
          <t>Custom stickers for lids</t>
        </is>
      </c>
      <c r="C89" s="9" t="inlineStr">
        <is>
          <t>Oil Slick Custom Stickers for Lids are made for brands, extract makers, and dispensaries who want their jars looking dialed-in and professional from every angle. Sized for 5ml lids and printed to your artwork, they give …</t>
        </is>
      </c>
      <c r="D89" s="9" t="inlineStr">
        <is>
          <t>Size: 6ml / Quantity: 10000</t>
        </is>
      </c>
      <c r="E89" s="13" t="inlineStr">
        <is>
          <t>CUSTOMJARSTICKER 6ML 10000</t>
        </is>
      </c>
      <c r="F89" s="13" t="inlineStr">
        <is>
          <t>Custom</t>
        </is>
      </c>
      <c r="G89" s="11" t="n">
        <v>10000</v>
      </c>
      <c r="H89" s="13" t="inlineStr">
        <is>
          <t>pcs</t>
        </is>
      </c>
      <c r="I89" s="10" t="n">
        <v>67.48999999999999</v>
      </c>
      <c r="J89" s="10" t="inlineStr"/>
      <c r="K89" s="12">
        <f>IFERROR(I89/G89,"")</f>
        <v/>
      </c>
      <c r="L89" s="12">
        <f>IFERROR(J89/G89,"")</f>
        <v/>
      </c>
      <c r="M89" s="14">
        <f>IFERROR((I89-J89)/I89,"")</f>
        <v/>
      </c>
      <c r="N89" s="10" t="inlineStr"/>
      <c r="O89" s="11" t="inlineStr"/>
      <c r="P89" s="12">
        <f>IFERROR(N89/O89,"")</f>
        <v/>
      </c>
      <c r="Q89" s="10" t="inlineStr"/>
      <c r="R89" s="11" t="inlineStr"/>
      <c r="S89" s="12">
        <f>IFERROR(Q89/R89,"")</f>
        <v/>
      </c>
      <c r="T89" s="13" t="inlineStr"/>
      <c r="U89" s="9" t="inlineStr"/>
      <c r="V89" s="9" t="inlineStr"/>
      <c r="W89" s="13">
        <f>IF(G89="","",IF(G89&lt;=Assumptions!$B$9,Assumptions!$C$9,IF(G89&lt;=Assumptions!$B$10,Assumptions!$C$10,IF(G89&lt;=Assumptions!$B$11,Assumptions!$C$11,Assumptions!$C$12))))</f>
        <v/>
      </c>
      <c r="X89" s="13">
        <f>IF(F89="Branded",Assumptions!$B$5,IF(OR(F89="Packaging",F89="Bags"),Assumptions!$B$4,1))</f>
        <v/>
      </c>
      <c r="Y89" s="14">
        <f>IFERROR(VLOOKUP(F89,Assumptions!$A$16:$C$20,2,FALSE),0.40)</f>
        <v/>
      </c>
      <c r="Z89" s="14">
        <f>IFERROR(VLOOKUP(F89,Assumptions!$A$16:$C$20,3,FALSE),0.30)</f>
        <v/>
      </c>
      <c r="AA89" s="12">
        <f>IF(P89&lt;&gt;"",P89*X89*W89,IF(L89&lt;&gt;"",L89/(1-Y89),K89))</f>
        <v/>
      </c>
      <c r="AB89" s="12">
        <f>IF(L89&lt;&gt;"",L89/(1-Z89),"")</f>
        <v/>
      </c>
      <c r="AC89" s="12">
        <f>IF(AB89="",AA89,MAX(AA89,AB89))</f>
        <v/>
      </c>
      <c r="AD89" s="10">
        <f>IF(AC89="","",AC89*G89)</f>
        <v/>
      </c>
      <c r="AE89" s="10">
        <f>IF(AD89="","",ROUNDUP(AD89,0)-0.01)</f>
        <v/>
      </c>
      <c r="AF89" s="9">
        <f>IF(P89&lt;&gt;"","Competitor-based",IF(L89&lt;&gt;"","Cost+margin","Needs review"))</f>
        <v/>
      </c>
    </row>
    <row r="90" ht="46" customHeight="1">
      <c r="A90" s="13" t="inlineStr">
        <is>
          <t>custom-printed-stickers-for-jars</t>
        </is>
      </c>
      <c r="B90" s="9" t="inlineStr">
        <is>
          <t>Custom stickers for lids</t>
        </is>
      </c>
      <c r="C90" s="9" t="inlineStr">
        <is>
          <t>Oil Slick Custom Stickers for Lids are made for brands, extract makers, and dispensaries who want their jars looking dialed-in and professional from every angle. Sized for 5ml lids and printed to your artwork, they give …</t>
        </is>
      </c>
      <c r="D90" s="9" t="inlineStr">
        <is>
          <t>Size: 7ml / Quantity: 100</t>
        </is>
      </c>
      <c r="E90" s="13" t="inlineStr">
        <is>
          <t>CUSTOMJARSTICKER 7ML 100</t>
        </is>
      </c>
      <c r="F90" s="13" t="inlineStr">
        <is>
          <t>Custom</t>
        </is>
      </c>
      <c r="G90" s="11" t="n">
        <v>100</v>
      </c>
      <c r="H90" s="13" t="inlineStr">
        <is>
          <t>pcs</t>
        </is>
      </c>
      <c r="I90" s="10" t="n">
        <v>29.99</v>
      </c>
      <c r="J90" s="10" t="inlineStr"/>
      <c r="K90" s="12">
        <f>IFERROR(I90/G90,"")</f>
        <v/>
      </c>
      <c r="L90" s="12">
        <f>IFERROR(J90/G90,"")</f>
        <v/>
      </c>
      <c r="M90" s="14">
        <f>IFERROR((I90-J90)/I90,"")</f>
        <v/>
      </c>
      <c r="N90" s="10" t="inlineStr"/>
      <c r="O90" s="11" t="inlineStr"/>
      <c r="P90" s="12">
        <f>IFERROR(N90/O90,"")</f>
        <v/>
      </c>
      <c r="Q90" s="10" t="inlineStr"/>
      <c r="R90" s="11" t="inlineStr"/>
      <c r="S90" s="12">
        <f>IFERROR(Q90/R90,"")</f>
        <v/>
      </c>
      <c r="T90" s="13" t="inlineStr"/>
      <c r="U90" s="9" t="inlineStr"/>
      <c r="V90" s="9" t="inlineStr"/>
      <c r="W90" s="13">
        <f>IF(G90="","",IF(G90&lt;=Assumptions!$B$9,Assumptions!$C$9,IF(G90&lt;=Assumptions!$B$10,Assumptions!$C$10,IF(G90&lt;=Assumptions!$B$11,Assumptions!$C$11,Assumptions!$C$12))))</f>
        <v/>
      </c>
      <c r="X90" s="13">
        <f>IF(F90="Branded",Assumptions!$B$5,IF(OR(F90="Packaging",F90="Bags"),Assumptions!$B$4,1))</f>
        <v/>
      </c>
      <c r="Y90" s="14">
        <f>IFERROR(VLOOKUP(F90,Assumptions!$A$16:$C$20,2,FALSE),0.40)</f>
        <v/>
      </c>
      <c r="Z90" s="14">
        <f>IFERROR(VLOOKUP(F90,Assumptions!$A$16:$C$20,3,FALSE),0.30)</f>
        <v/>
      </c>
      <c r="AA90" s="12">
        <f>IF(P90&lt;&gt;"",P90*X90*W90,IF(L90&lt;&gt;"",L90/(1-Y90),K90))</f>
        <v/>
      </c>
      <c r="AB90" s="12">
        <f>IF(L90&lt;&gt;"",L90/(1-Z90),"")</f>
        <v/>
      </c>
      <c r="AC90" s="12">
        <f>IF(AB90="",AA90,MAX(AA90,AB90))</f>
        <v/>
      </c>
      <c r="AD90" s="10">
        <f>IF(AC90="","",AC90*G90)</f>
        <v/>
      </c>
      <c r="AE90" s="10">
        <f>IF(AD90="","",ROUNDUP(AD90,0)-0.01)</f>
        <v/>
      </c>
      <c r="AF90" s="9">
        <f>IF(P90&lt;&gt;"","Competitor-based",IF(L90&lt;&gt;"","Cost+margin","Needs review"))</f>
        <v/>
      </c>
    </row>
    <row r="91" ht="46" customHeight="1">
      <c r="A91" s="13" t="inlineStr">
        <is>
          <t>custom-printed-stickers-for-jars</t>
        </is>
      </c>
      <c r="B91" s="9" t="inlineStr">
        <is>
          <t>Custom stickers for lids</t>
        </is>
      </c>
      <c r="C91" s="9" t="inlineStr">
        <is>
          <t>Oil Slick Custom Stickers for Lids are made for brands, extract makers, and dispensaries who want their jars looking dialed-in and professional from every angle. Sized for 5ml lids and printed to your artwork, they give …</t>
        </is>
      </c>
      <c r="D91" s="9" t="inlineStr">
        <is>
          <t>Size: 7ml / Quantity: 200</t>
        </is>
      </c>
      <c r="E91" s="13" t="inlineStr">
        <is>
          <t>CUSTOMJARSTICKER 7ML 200</t>
        </is>
      </c>
      <c r="F91" s="13" t="inlineStr">
        <is>
          <t>Custom</t>
        </is>
      </c>
      <c r="G91" s="11" t="n">
        <v>200</v>
      </c>
      <c r="H91" s="13" t="inlineStr">
        <is>
          <t>pcs</t>
        </is>
      </c>
      <c r="I91" s="10" t="n">
        <v>8.99</v>
      </c>
      <c r="J91" s="10" t="inlineStr"/>
      <c r="K91" s="12">
        <f>IFERROR(I91/G91,"")</f>
        <v/>
      </c>
      <c r="L91" s="12">
        <f>IFERROR(J91/G91,"")</f>
        <v/>
      </c>
      <c r="M91" s="14">
        <f>IFERROR((I91-J91)/I91,"")</f>
        <v/>
      </c>
      <c r="N91" s="10" t="inlineStr"/>
      <c r="O91" s="11" t="inlineStr"/>
      <c r="P91" s="12">
        <f>IFERROR(N91/O91,"")</f>
        <v/>
      </c>
      <c r="Q91" s="10" t="inlineStr"/>
      <c r="R91" s="11" t="inlineStr"/>
      <c r="S91" s="12">
        <f>IFERROR(Q91/R91,"")</f>
        <v/>
      </c>
      <c r="T91" s="13" t="inlineStr"/>
      <c r="U91" s="9" t="inlineStr"/>
      <c r="V91" s="9" t="inlineStr"/>
      <c r="W91" s="13">
        <f>IF(G91="","",IF(G91&lt;=Assumptions!$B$9,Assumptions!$C$9,IF(G91&lt;=Assumptions!$B$10,Assumptions!$C$10,IF(G91&lt;=Assumptions!$B$11,Assumptions!$C$11,Assumptions!$C$12))))</f>
        <v/>
      </c>
      <c r="X91" s="13">
        <f>IF(F91="Branded",Assumptions!$B$5,IF(OR(F91="Packaging",F91="Bags"),Assumptions!$B$4,1))</f>
        <v/>
      </c>
      <c r="Y91" s="14">
        <f>IFERROR(VLOOKUP(F91,Assumptions!$A$16:$C$20,2,FALSE),0.40)</f>
        <v/>
      </c>
      <c r="Z91" s="14">
        <f>IFERROR(VLOOKUP(F91,Assumptions!$A$16:$C$20,3,FALSE),0.30)</f>
        <v/>
      </c>
      <c r="AA91" s="12">
        <f>IF(P91&lt;&gt;"",P91*X91*W91,IF(L91&lt;&gt;"",L91/(1-Y91),K91))</f>
        <v/>
      </c>
      <c r="AB91" s="12">
        <f>IF(L91&lt;&gt;"",L91/(1-Z91),"")</f>
        <v/>
      </c>
      <c r="AC91" s="12">
        <f>IF(AB91="",AA91,MAX(AA91,AB91))</f>
        <v/>
      </c>
      <c r="AD91" s="10">
        <f>IF(AC91="","",AC91*G91)</f>
        <v/>
      </c>
      <c r="AE91" s="10">
        <f>IF(AD91="","",ROUNDUP(AD91,0)-0.01)</f>
        <v/>
      </c>
      <c r="AF91" s="9">
        <f>IF(P91&lt;&gt;"","Competitor-based",IF(L91&lt;&gt;"","Cost+margin","Needs review"))</f>
        <v/>
      </c>
    </row>
    <row r="92" ht="46" customHeight="1">
      <c r="A92" s="13" t="inlineStr">
        <is>
          <t>custom-printed-stickers-for-jars</t>
        </is>
      </c>
      <c r="B92" s="9" t="inlineStr">
        <is>
          <t>Custom stickers for lids</t>
        </is>
      </c>
      <c r="C92" s="9" t="inlineStr">
        <is>
          <t>Oil Slick Custom Stickers for Lids are made for brands, extract makers, and dispensaries who want their jars looking dialed-in and professional from every angle. Sized for 5ml lids and printed to your artwork, they give …</t>
        </is>
      </c>
      <c r="D92" s="9" t="inlineStr">
        <is>
          <t>Size: 7ml / Quantity: 500</t>
        </is>
      </c>
      <c r="E92" s="13" t="inlineStr">
        <is>
          <t>CUSTOMJARSTICKER 7ML 500</t>
        </is>
      </c>
      <c r="F92" s="13" t="inlineStr">
        <is>
          <t>Custom</t>
        </is>
      </c>
      <c r="G92" s="11" t="n">
        <v>500</v>
      </c>
      <c r="H92" s="13" t="inlineStr">
        <is>
          <t>pcs</t>
        </is>
      </c>
      <c r="I92" s="10" t="n">
        <v>67.48999999999999</v>
      </c>
      <c r="J92" s="10" t="inlineStr"/>
      <c r="K92" s="12">
        <f>IFERROR(I92/G92,"")</f>
        <v/>
      </c>
      <c r="L92" s="12">
        <f>IFERROR(J92/G92,"")</f>
        <v/>
      </c>
      <c r="M92" s="14">
        <f>IFERROR((I92-J92)/I92,"")</f>
        <v/>
      </c>
      <c r="N92" s="10" t="inlineStr"/>
      <c r="O92" s="11" t="inlineStr"/>
      <c r="P92" s="12">
        <f>IFERROR(N92/O92,"")</f>
        <v/>
      </c>
      <c r="Q92" s="10" t="inlineStr"/>
      <c r="R92" s="11" t="inlineStr"/>
      <c r="S92" s="12">
        <f>IFERROR(Q92/R92,"")</f>
        <v/>
      </c>
      <c r="T92" s="13" t="inlineStr"/>
      <c r="U92" s="9" t="inlineStr"/>
      <c r="V92" s="9" t="inlineStr"/>
      <c r="W92" s="13">
        <f>IF(G92="","",IF(G92&lt;=Assumptions!$B$9,Assumptions!$C$9,IF(G92&lt;=Assumptions!$B$10,Assumptions!$C$10,IF(G92&lt;=Assumptions!$B$11,Assumptions!$C$11,Assumptions!$C$12))))</f>
        <v/>
      </c>
      <c r="X92" s="13">
        <f>IF(F92="Branded",Assumptions!$B$5,IF(OR(F92="Packaging",F92="Bags"),Assumptions!$B$4,1))</f>
        <v/>
      </c>
      <c r="Y92" s="14">
        <f>IFERROR(VLOOKUP(F92,Assumptions!$A$16:$C$20,2,FALSE),0.40)</f>
        <v/>
      </c>
      <c r="Z92" s="14">
        <f>IFERROR(VLOOKUP(F92,Assumptions!$A$16:$C$20,3,FALSE),0.30)</f>
        <v/>
      </c>
      <c r="AA92" s="12">
        <f>IF(P92&lt;&gt;"",P92*X92*W92,IF(L92&lt;&gt;"",L92/(1-Y92),K92))</f>
        <v/>
      </c>
      <c r="AB92" s="12">
        <f>IF(L92&lt;&gt;"",L92/(1-Z92),"")</f>
        <v/>
      </c>
      <c r="AC92" s="12">
        <f>IF(AB92="",AA92,MAX(AA92,AB92))</f>
        <v/>
      </c>
      <c r="AD92" s="10">
        <f>IF(AC92="","",AC92*G92)</f>
        <v/>
      </c>
      <c r="AE92" s="10">
        <f>IF(AD92="","",ROUNDUP(AD92,0)-0.01)</f>
        <v/>
      </c>
      <c r="AF92" s="9">
        <f>IF(P92&lt;&gt;"","Competitor-based",IF(L92&lt;&gt;"","Cost+margin","Needs review"))</f>
        <v/>
      </c>
    </row>
    <row r="93" ht="46" customHeight="1">
      <c r="A93" s="13" t="inlineStr">
        <is>
          <t>custom-printed-stickers-for-jars</t>
        </is>
      </c>
      <c r="B93" s="9" t="inlineStr">
        <is>
          <t>Custom stickers for lids</t>
        </is>
      </c>
      <c r="C93" s="9" t="inlineStr">
        <is>
          <t>Oil Slick Custom Stickers for Lids are made for brands, extract makers, and dispensaries who want their jars looking dialed-in and professional from every angle. Sized for 5ml lids and printed to your artwork, they give …</t>
        </is>
      </c>
      <c r="D93" s="9" t="inlineStr">
        <is>
          <t>Size: 7ml / Quantity: 1000</t>
        </is>
      </c>
      <c r="E93" s="13" t="inlineStr">
        <is>
          <t>CUSTOMJARSTICKER 7ML 1000</t>
        </is>
      </c>
      <c r="F93" s="13" t="inlineStr">
        <is>
          <t>Custom</t>
        </is>
      </c>
      <c r="G93" s="11" t="n">
        <v>1000</v>
      </c>
      <c r="H93" s="13" t="inlineStr">
        <is>
          <t>pcs</t>
        </is>
      </c>
      <c r="I93" s="10" t="n">
        <v>22.99</v>
      </c>
      <c r="J93" s="10" t="inlineStr"/>
      <c r="K93" s="12">
        <f>IFERROR(I93/G93,"")</f>
        <v/>
      </c>
      <c r="L93" s="12">
        <f>IFERROR(J93/G93,"")</f>
        <v/>
      </c>
      <c r="M93" s="14">
        <f>IFERROR((I93-J93)/I93,"")</f>
        <v/>
      </c>
      <c r="N93" s="10" t="inlineStr"/>
      <c r="O93" s="11" t="inlineStr"/>
      <c r="P93" s="12">
        <f>IFERROR(N93/O93,"")</f>
        <v/>
      </c>
      <c r="Q93" s="10" t="inlineStr"/>
      <c r="R93" s="11" t="inlineStr"/>
      <c r="S93" s="12">
        <f>IFERROR(Q93/R93,"")</f>
        <v/>
      </c>
      <c r="T93" s="13" t="inlineStr"/>
      <c r="U93" s="9" t="inlineStr"/>
      <c r="V93" s="9" t="inlineStr"/>
      <c r="W93" s="13">
        <f>IF(G93="","",IF(G93&lt;=Assumptions!$B$9,Assumptions!$C$9,IF(G93&lt;=Assumptions!$B$10,Assumptions!$C$10,IF(G93&lt;=Assumptions!$B$11,Assumptions!$C$11,Assumptions!$C$12))))</f>
        <v/>
      </c>
      <c r="X93" s="13">
        <f>IF(F93="Branded",Assumptions!$B$5,IF(OR(F93="Packaging",F93="Bags"),Assumptions!$B$4,1))</f>
        <v/>
      </c>
      <c r="Y93" s="14">
        <f>IFERROR(VLOOKUP(F93,Assumptions!$A$16:$C$20,2,FALSE),0.40)</f>
        <v/>
      </c>
      <c r="Z93" s="14">
        <f>IFERROR(VLOOKUP(F93,Assumptions!$A$16:$C$20,3,FALSE),0.30)</f>
        <v/>
      </c>
      <c r="AA93" s="12">
        <f>IF(P93&lt;&gt;"",P93*X93*W93,IF(L93&lt;&gt;"",L93/(1-Y93),K93))</f>
        <v/>
      </c>
      <c r="AB93" s="12">
        <f>IF(L93&lt;&gt;"",L93/(1-Z93),"")</f>
        <v/>
      </c>
      <c r="AC93" s="12">
        <f>IF(AB93="",AA93,MAX(AA93,AB93))</f>
        <v/>
      </c>
      <c r="AD93" s="10">
        <f>IF(AC93="","",AC93*G93)</f>
        <v/>
      </c>
      <c r="AE93" s="10">
        <f>IF(AD93="","",ROUNDUP(AD93,0)-0.01)</f>
        <v/>
      </c>
      <c r="AF93" s="9">
        <f>IF(P93&lt;&gt;"","Competitor-based",IF(L93&lt;&gt;"","Cost+margin","Needs review"))</f>
        <v/>
      </c>
    </row>
    <row r="94" ht="46" customHeight="1">
      <c r="A94" s="13" t="inlineStr">
        <is>
          <t>custom-printed-stickers-for-jars</t>
        </is>
      </c>
      <c r="B94" s="9" t="inlineStr">
        <is>
          <t>Custom stickers for lids</t>
        </is>
      </c>
      <c r="C94" s="9" t="inlineStr">
        <is>
          <t>Oil Slick Custom Stickers for Lids are made for brands, extract makers, and dispensaries who want their jars looking dialed-in and professional from every angle. Sized for 5ml lids and printed to your artwork, they give …</t>
        </is>
      </c>
      <c r="D94" s="9" t="inlineStr">
        <is>
          <t>Size: 7ml / Quantity: 5000</t>
        </is>
      </c>
      <c r="E94" s="13" t="inlineStr">
        <is>
          <t>CUSTOMJARSTICKER 7ML 5000</t>
        </is>
      </c>
      <c r="F94" s="13" t="inlineStr">
        <is>
          <t>Custom</t>
        </is>
      </c>
      <c r="G94" s="11" t="n">
        <v>5000</v>
      </c>
      <c r="H94" s="13" t="inlineStr">
        <is>
          <t>pcs</t>
        </is>
      </c>
      <c r="I94" s="10" t="n">
        <v>29.99</v>
      </c>
      <c r="J94" s="10" t="inlineStr"/>
      <c r="K94" s="12">
        <f>IFERROR(I94/G94,"")</f>
        <v/>
      </c>
      <c r="L94" s="12">
        <f>IFERROR(J94/G94,"")</f>
        <v/>
      </c>
      <c r="M94" s="14">
        <f>IFERROR((I94-J94)/I94,"")</f>
        <v/>
      </c>
      <c r="N94" s="10" t="inlineStr"/>
      <c r="O94" s="11" t="inlineStr"/>
      <c r="P94" s="12">
        <f>IFERROR(N94/O94,"")</f>
        <v/>
      </c>
      <c r="Q94" s="10" t="inlineStr"/>
      <c r="R94" s="11" t="inlineStr"/>
      <c r="S94" s="12">
        <f>IFERROR(Q94/R94,"")</f>
        <v/>
      </c>
      <c r="T94" s="13" t="inlineStr"/>
      <c r="U94" s="9" t="inlineStr"/>
      <c r="V94" s="9" t="inlineStr"/>
      <c r="W94" s="13">
        <f>IF(G94="","",IF(G94&lt;=Assumptions!$B$9,Assumptions!$C$9,IF(G94&lt;=Assumptions!$B$10,Assumptions!$C$10,IF(G94&lt;=Assumptions!$B$11,Assumptions!$C$11,Assumptions!$C$12))))</f>
        <v/>
      </c>
      <c r="X94" s="13">
        <f>IF(F94="Branded",Assumptions!$B$5,IF(OR(F94="Packaging",F94="Bags"),Assumptions!$B$4,1))</f>
        <v/>
      </c>
      <c r="Y94" s="14">
        <f>IFERROR(VLOOKUP(F94,Assumptions!$A$16:$C$20,2,FALSE),0.40)</f>
        <v/>
      </c>
      <c r="Z94" s="14">
        <f>IFERROR(VLOOKUP(F94,Assumptions!$A$16:$C$20,3,FALSE),0.30)</f>
        <v/>
      </c>
      <c r="AA94" s="12">
        <f>IF(P94&lt;&gt;"",P94*X94*W94,IF(L94&lt;&gt;"",L94/(1-Y94),K94))</f>
        <v/>
      </c>
      <c r="AB94" s="12">
        <f>IF(L94&lt;&gt;"",L94/(1-Z94),"")</f>
        <v/>
      </c>
      <c r="AC94" s="12">
        <f>IF(AB94="",AA94,MAX(AA94,AB94))</f>
        <v/>
      </c>
      <c r="AD94" s="10">
        <f>IF(AC94="","",AC94*G94)</f>
        <v/>
      </c>
      <c r="AE94" s="10">
        <f>IF(AD94="","",ROUNDUP(AD94,0)-0.01)</f>
        <v/>
      </c>
      <c r="AF94" s="9">
        <f>IF(P94&lt;&gt;"","Competitor-based",IF(L94&lt;&gt;"","Cost+margin","Needs review"))</f>
        <v/>
      </c>
    </row>
    <row r="95" ht="46" customHeight="1">
      <c r="A95" s="13" t="inlineStr">
        <is>
          <t>custom-printed-stickers-for-jars</t>
        </is>
      </c>
      <c r="B95" s="9" t="inlineStr">
        <is>
          <t>Custom stickers for lids</t>
        </is>
      </c>
      <c r="C95" s="9" t="inlineStr">
        <is>
          <t>Oil Slick Custom Stickers for Lids are made for brands, extract makers, and dispensaries who want their jars looking dialed-in and professional from every angle. Sized for 5ml lids and printed to your artwork, they give …</t>
        </is>
      </c>
      <c r="D95" s="9" t="inlineStr">
        <is>
          <t>Size: 7ml / Quantity: 10000</t>
        </is>
      </c>
      <c r="E95" s="13" t="inlineStr">
        <is>
          <t>CUSTOMJARSTICKER 7ML 10000</t>
        </is>
      </c>
      <c r="F95" s="13" t="inlineStr">
        <is>
          <t>Custom</t>
        </is>
      </c>
      <c r="G95" s="11" t="n">
        <v>10000</v>
      </c>
      <c r="H95" s="13" t="inlineStr">
        <is>
          <t>pcs</t>
        </is>
      </c>
      <c r="I95" s="10" t="n">
        <v>39.99</v>
      </c>
      <c r="J95" s="10" t="inlineStr"/>
      <c r="K95" s="12">
        <f>IFERROR(I95/G95,"")</f>
        <v/>
      </c>
      <c r="L95" s="12">
        <f>IFERROR(J95/G95,"")</f>
        <v/>
      </c>
      <c r="M95" s="14">
        <f>IFERROR((I95-J95)/I95,"")</f>
        <v/>
      </c>
      <c r="N95" s="10" t="inlineStr"/>
      <c r="O95" s="11" t="inlineStr"/>
      <c r="P95" s="12">
        <f>IFERROR(N95/O95,"")</f>
        <v/>
      </c>
      <c r="Q95" s="10" t="inlineStr"/>
      <c r="R95" s="11" t="inlineStr"/>
      <c r="S95" s="12">
        <f>IFERROR(Q95/R95,"")</f>
        <v/>
      </c>
      <c r="T95" s="13" t="inlineStr"/>
      <c r="U95" s="9" t="inlineStr"/>
      <c r="V95" s="9" t="inlineStr"/>
      <c r="W95" s="13">
        <f>IF(G95="","",IF(G95&lt;=Assumptions!$B$9,Assumptions!$C$9,IF(G95&lt;=Assumptions!$B$10,Assumptions!$C$10,IF(G95&lt;=Assumptions!$B$11,Assumptions!$C$11,Assumptions!$C$12))))</f>
        <v/>
      </c>
      <c r="X95" s="13">
        <f>IF(F95="Branded",Assumptions!$B$5,IF(OR(F95="Packaging",F95="Bags"),Assumptions!$B$4,1))</f>
        <v/>
      </c>
      <c r="Y95" s="14">
        <f>IFERROR(VLOOKUP(F95,Assumptions!$A$16:$C$20,2,FALSE),0.40)</f>
        <v/>
      </c>
      <c r="Z95" s="14">
        <f>IFERROR(VLOOKUP(F95,Assumptions!$A$16:$C$20,3,FALSE),0.30)</f>
        <v/>
      </c>
      <c r="AA95" s="12">
        <f>IF(P95&lt;&gt;"",P95*X95*W95,IF(L95&lt;&gt;"",L95/(1-Y95),K95))</f>
        <v/>
      </c>
      <c r="AB95" s="12">
        <f>IF(L95&lt;&gt;"",L95/(1-Z95),"")</f>
        <v/>
      </c>
      <c r="AC95" s="12">
        <f>IF(AB95="",AA95,MAX(AA95,AB95))</f>
        <v/>
      </c>
      <c r="AD95" s="10">
        <f>IF(AC95="","",AC95*G95)</f>
        <v/>
      </c>
      <c r="AE95" s="10">
        <f>IF(AD95="","",ROUNDUP(AD95,0)-0.01)</f>
        <v/>
      </c>
      <c r="AF95" s="9">
        <f>IF(P95&lt;&gt;"","Competitor-based",IF(L95&lt;&gt;"","Cost+margin","Needs review"))</f>
        <v/>
      </c>
    </row>
    <row r="96" ht="46" customHeight="1">
      <c r="A96" s="13" t="inlineStr">
        <is>
          <t>custom-printed-stickers-for-jars</t>
        </is>
      </c>
      <c r="B96" s="9" t="inlineStr">
        <is>
          <t>Custom stickers for lids</t>
        </is>
      </c>
      <c r="C96" s="9" t="inlineStr">
        <is>
          <t>Oil Slick Custom Stickers for Lids are made for brands, extract makers, and dispensaries who want their jars looking dialed-in and professional from every angle. Sized for 5ml lids and printed to your artwork, they give …</t>
        </is>
      </c>
      <c r="D96" s="9" t="inlineStr">
        <is>
          <t>Size: 9ml / Quantity: 100</t>
        </is>
      </c>
      <c r="E96" s="13" t="inlineStr">
        <is>
          <t>CUSTOMJARSTICKER 9ML 100</t>
        </is>
      </c>
      <c r="F96" s="13" t="inlineStr">
        <is>
          <t>Custom</t>
        </is>
      </c>
      <c r="G96" s="11" t="n">
        <v>100</v>
      </c>
      <c r="H96" s="13" t="inlineStr">
        <is>
          <t>pcs</t>
        </is>
      </c>
      <c r="I96" s="10" t="n">
        <v>39.99</v>
      </c>
      <c r="J96" s="10" t="inlineStr"/>
      <c r="K96" s="12">
        <f>IFERROR(I96/G96,"")</f>
        <v/>
      </c>
      <c r="L96" s="12">
        <f>IFERROR(J96/G96,"")</f>
        <v/>
      </c>
      <c r="M96" s="14">
        <f>IFERROR((I96-J96)/I96,"")</f>
        <v/>
      </c>
      <c r="N96" s="10" t="inlineStr"/>
      <c r="O96" s="11" t="inlineStr"/>
      <c r="P96" s="12">
        <f>IFERROR(N96/O96,"")</f>
        <v/>
      </c>
      <c r="Q96" s="10" t="inlineStr"/>
      <c r="R96" s="11" t="inlineStr"/>
      <c r="S96" s="12">
        <f>IFERROR(Q96/R96,"")</f>
        <v/>
      </c>
      <c r="T96" s="13" t="inlineStr"/>
      <c r="U96" s="9" t="inlineStr"/>
      <c r="V96" s="9" t="inlineStr"/>
      <c r="W96" s="13">
        <f>IF(G96="","",IF(G96&lt;=Assumptions!$B$9,Assumptions!$C$9,IF(G96&lt;=Assumptions!$B$10,Assumptions!$C$10,IF(G96&lt;=Assumptions!$B$11,Assumptions!$C$11,Assumptions!$C$12))))</f>
        <v/>
      </c>
      <c r="X96" s="13">
        <f>IF(F96="Branded",Assumptions!$B$5,IF(OR(F96="Packaging",F96="Bags"),Assumptions!$B$4,1))</f>
        <v/>
      </c>
      <c r="Y96" s="14">
        <f>IFERROR(VLOOKUP(F96,Assumptions!$A$16:$C$20,2,FALSE),0.40)</f>
        <v/>
      </c>
      <c r="Z96" s="14">
        <f>IFERROR(VLOOKUP(F96,Assumptions!$A$16:$C$20,3,FALSE),0.30)</f>
        <v/>
      </c>
      <c r="AA96" s="12">
        <f>IF(P96&lt;&gt;"",P96*X96*W96,IF(L96&lt;&gt;"",L96/(1-Y96),K96))</f>
        <v/>
      </c>
      <c r="AB96" s="12">
        <f>IF(L96&lt;&gt;"",L96/(1-Z96),"")</f>
        <v/>
      </c>
      <c r="AC96" s="12">
        <f>IF(AB96="",AA96,MAX(AA96,AB96))</f>
        <v/>
      </c>
      <c r="AD96" s="10">
        <f>IF(AC96="","",AC96*G96)</f>
        <v/>
      </c>
      <c r="AE96" s="10">
        <f>IF(AD96="","",ROUNDUP(AD96,0)-0.01)</f>
        <v/>
      </c>
      <c r="AF96" s="9">
        <f>IF(P96&lt;&gt;"","Competitor-based",IF(L96&lt;&gt;"","Cost+margin","Needs review"))</f>
        <v/>
      </c>
    </row>
    <row r="97" ht="46" customHeight="1">
      <c r="A97" s="13" t="inlineStr">
        <is>
          <t>custom-printed-stickers-for-jars</t>
        </is>
      </c>
      <c r="B97" s="9" t="inlineStr">
        <is>
          <t>Custom stickers for lids</t>
        </is>
      </c>
      <c r="C97" s="9" t="inlineStr">
        <is>
          <t>Oil Slick Custom Stickers for Lids are made for brands, extract makers, and dispensaries who want their jars looking dialed-in and professional from every angle. Sized for 5ml lids and printed to your artwork, they give …</t>
        </is>
      </c>
      <c r="D97" s="9" t="inlineStr">
        <is>
          <t>Size: 9ml / Quantity: 200</t>
        </is>
      </c>
      <c r="E97" s="13" t="inlineStr">
        <is>
          <t>CUSTOMJARSTICKER 9ML 200</t>
        </is>
      </c>
      <c r="F97" s="13" t="inlineStr">
        <is>
          <t>Custom</t>
        </is>
      </c>
      <c r="G97" s="11" t="n">
        <v>200</v>
      </c>
      <c r="H97" s="13" t="inlineStr">
        <is>
          <t>pcs</t>
        </is>
      </c>
      <c r="I97" s="10" t="n">
        <v>34.99</v>
      </c>
      <c r="J97" s="10" t="inlineStr"/>
      <c r="K97" s="12">
        <f>IFERROR(I97/G97,"")</f>
        <v/>
      </c>
      <c r="L97" s="12">
        <f>IFERROR(J97/G97,"")</f>
        <v/>
      </c>
      <c r="M97" s="14">
        <f>IFERROR((I97-J97)/I97,"")</f>
        <v/>
      </c>
      <c r="N97" s="10" t="inlineStr"/>
      <c r="O97" s="11" t="inlineStr"/>
      <c r="P97" s="12">
        <f>IFERROR(N97/O97,"")</f>
        <v/>
      </c>
      <c r="Q97" s="10" t="inlineStr"/>
      <c r="R97" s="11" t="inlineStr"/>
      <c r="S97" s="12">
        <f>IFERROR(Q97/R97,"")</f>
        <v/>
      </c>
      <c r="T97" s="13" t="inlineStr"/>
      <c r="U97" s="9" t="inlineStr"/>
      <c r="V97" s="9" t="inlineStr"/>
      <c r="W97" s="13">
        <f>IF(G97="","",IF(G97&lt;=Assumptions!$B$9,Assumptions!$C$9,IF(G97&lt;=Assumptions!$B$10,Assumptions!$C$10,IF(G97&lt;=Assumptions!$B$11,Assumptions!$C$11,Assumptions!$C$12))))</f>
        <v/>
      </c>
      <c r="X97" s="13">
        <f>IF(F97="Branded",Assumptions!$B$5,IF(OR(F97="Packaging",F97="Bags"),Assumptions!$B$4,1))</f>
        <v/>
      </c>
      <c r="Y97" s="14">
        <f>IFERROR(VLOOKUP(F97,Assumptions!$A$16:$C$20,2,FALSE),0.40)</f>
        <v/>
      </c>
      <c r="Z97" s="14">
        <f>IFERROR(VLOOKUP(F97,Assumptions!$A$16:$C$20,3,FALSE),0.30)</f>
        <v/>
      </c>
      <c r="AA97" s="12">
        <f>IF(P97&lt;&gt;"",P97*X97*W97,IF(L97&lt;&gt;"",L97/(1-Y97),K97))</f>
        <v/>
      </c>
      <c r="AB97" s="12">
        <f>IF(L97&lt;&gt;"",L97/(1-Z97),"")</f>
        <v/>
      </c>
      <c r="AC97" s="12">
        <f>IF(AB97="",AA97,MAX(AA97,AB97))</f>
        <v/>
      </c>
      <c r="AD97" s="10">
        <f>IF(AC97="","",AC97*G97)</f>
        <v/>
      </c>
      <c r="AE97" s="10">
        <f>IF(AD97="","",ROUNDUP(AD97,0)-0.01)</f>
        <v/>
      </c>
      <c r="AF97" s="9">
        <f>IF(P97&lt;&gt;"","Competitor-based",IF(L97&lt;&gt;"","Cost+margin","Needs review"))</f>
        <v/>
      </c>
    </row>
    <row r="98" ht="46" customHeight="1">
      <c r="A98" s="13" t="inlineStr">
        <is>
          <t>custom-printed-stickers-for-jars</t>
        </is>
      </c>
      <c r="B98" s="9" t="inlineStr">
        <is>
          <t>Custom stickers for lids</t>
        </is>
      </c>
      <c r="C98" s="9" t="inlineStr">
        <is>
          <t>Oil Slick Custom Stickers for Lids are made for brands, extract makers, and dispensaries who want their jars looking dialed-in and professional from every angle. Sized for 5ml lids and printed to your artwork, they give …</t>
        </is>
      </c>
      <c r="D98" s="9" t="inlineStr">
        <is>
          <t>Size: 9ml / Quantity: 500</t>
        </is>
      </c>
      <c r="E98" s="13" t="inlineStr">
        <is>
          <t>CUSTOMJARSTICKER 9ML 500</t>
        </is>
      </c>
      <c r="F98" s="13" t="inlineStr">
        <is>
          <t>Custom</t>
        </is>
      </c>
      <c r="G98" s="11" t="n">
        <v>500</v>
      </c>
      <c r="H98" s="13" t="inlineStr">
        <is>
          <t>pcs</t>
        </is>
      </c>
      <c r="I98" s="10" t="n">
        <v>59.99</v>
      </c>
      <c r="J98" s="10" t="inlineStr"/>
      <c r="K98" s="12">
        <f>IFERROR(I98/G98,"")</f>
        <v/>
      </c>
      <c r="L98" s="12">
        <f>IFERROR(J98/G98,"")</f>
        <v/>
      </c>
      <c r="M98" s="14">
        <f>IFERROR((I98-J98)/I98,"")</f>
        <v/>
      </c>
      <c r="N98" s="10" t="inlineStr"/>
      <c r="O98" s="11" t="inlineStr"/>
      <c r="P98" s="12">
        <f>IFERROR(N98/O98,"")</f>
        <v/>
      </c>
      <c r="Q98" s="10" t="inlineStr"/>
      <c r="R98" s="11" t="inlineStr"/>
      <c r="S98" s="12">
        <f>IFERROR(Q98/R98,"")</f>
        <v/>
      </c>
      <c r="T98" s="13" t="inlineStr"/>
      <c r="U98" s="9" t="inlineStr"/>
      <c r="V98" s="9" t="inlineStr"/>
      <c r="W98" s="13">
        <f>IF(G98="","",IF(G98&lt;=Assumptions!$B$9,Assumptions!$C$9,IF(G98&lt;=Assumptions!$B$10,Assumptions!$C$10,IF(G98&lt;=Assumptions!$B$11,Assumptions!$C$11,Assumptions!$C$12))))</f>
        <v/>
      </c>
      <c r="X98" s="13">
        <f>IF(F98="Branded",Assumptions!$B$5,IF(OR(F98="Packaging",F98="Bags"),Assumptions!$B$4,1))</f>
        <v/>
      </c>
      <c r="Y98" s="14">
        <f>IFERROR(VLOOKUP(F98,Assumptions!$A$16:$C$20,2,FALSE),0.40)</f>
        <v/>
      </c>
      <c r="Z98" s="14">
        <f>IFERROR(VLOOKUP(F98,Assumptions!$A$16:$C$20,3,FALSE),0.30)</f>
        <v/>
      </c>
      <c r="AA98" s="12">
        <f>IF(P98&lt;&gt;"",P98*X98*W98,IF(L98&lt;&gt;"",L98/(1-Y98),K98))</f>
        <v/>
      </c>
      <c r="AB98" s="12">
        <f>IF(L98&lt;&gt;"",L98/(1-Z98),"")</f>
        <v/>
      </c>
      <c r="AC98" s="12">
        <f>IF(AB98="",AA98,MAX(AA98,AB98))</f>
        <v/>
      </c>
      <c r="AD98" s="10">
        <f>IF(AC98="","",AC98*G98)</f>
        <v/>
      </c>
      <c r="AE98" s="10">
        <f>IF(AD98="","",ROUNDUP(AD98,0)-0.01)</f>
        <v/>
      </c>
      <c r="AF98" s="9">
        <f>IF(P98&lt;&gt;"","Competitor-based",IF(L98&lt;&gt;"","Cost+margin","Needs review"))</f>
        <v/>
      </c>
    </row>
    <row r="99" ht="46" customHeight="1">
      <c r="A99" s="13" t="inlineStr">
        <is>
          <t>custom-printed-stickers-for-jars</t>
        </is>
      </c>
      <c r="B99" s="9" t="inlineStr">
        <is>
          <t>Custom stickers for lids</t>
        </is>
      </c>
      <c r="C99" s="9" t="inlineStr">
        <is>
          <t>Oil Slick Custom Stickers for Lids are made for brands, extract makers, and dispensaries who want their jars looking dialed-in and professional from every angle. Sized for 5ml lids and printed to your artwork, they give …</t>
        </is>
      </c>
      <c r="D99" s="9" t="inlineStr">
        <is>
          <t>Size: 9ml / Quantity: 1000</t>
        </is>
      </c>
      <c r="E99" s="13" t="inlineStr">
        <is>
          <t>CUSTOMJARSTICKER 9ML 1000</t>
        </is>
      </c>
      <c r="F99" s="13" t="inlineStr">
        <is>
          <t>Custom</t>
        </is>
      </c>
      <c r="G99" s="11" t="n">
        <v>1000</v>
      </c>
      <c r="H99" s="13" t="inlineStr">
        <is>
          <t>pcs</t>
        </is>
      </c>
      <c r="I99" s="10" t="n">
        <v>34.99</v>
      </c>
      <c r="J99" s="10" t="inlineStr"/>
      <c r="K99" s="12">
        <f>IFERROR(I99/G99,"")</f>
        <v/>
      </c>
      <c r="L99" s="12">
        <f>IFERROR(J99/G99,"")</f>
        <v/>
      </c>
      <c r="M99" s="14">
        <f>IFERROR((I99-J99)/I99,"")</f>
        <v/>
      </c>
      <c r="N99" s="10" t="inlineStr"/>
      <c r="O99" s="11" t="inlineStr"/>
      <c r="P99" s="12">
        <f>IFERROR(N99/O99,"")</f>
        <v/>
      </c>
      <c r="Q99" s="10" t="inlineStr"/>
      <c r="R99" s="11" t="inlineStr"/>
      <c r="S99" s="12">
        <f>IFERROR(Q99/R99,"")</f>
        <v/>
      </c>
      <c r="T99" s="13" t="inlineStr"/>
      <c r="U99" s="9" t="inlineStr"/>
      <c r="V99" s="9" t="inlineStr"/>
      <c r="W99" s="13">
        <f>IF(G99="","",IF(G99&lt;=Assumptions!$B$9,Assumptions!$C$9,IF(G99&lt;=Assumptions!$B$10,Assumptions!$C$10,IF(G99&lt;=Assumptions!$B$11,Assumptions!$C$11,Assumptions!$C$12))))</f>
        <v/>
      </c>
      <c r="X99" s="13">
        <f>IF(F99="Branded",Assumptions!$B$5,IF(OR(F99="Packaging",F99="Bags"),Assumptions!$B$4,1))</f>
        <v/>
      </c>
      <c r="Y99" s="14">
        <f>IFERROR(VLOOKUP(F99,Assumptions!$A$16:$C$20,2,FALSE),0.40)</f>
        <v/>
      </c>
      <c r="Z99" s="14">
        <f>IFERROR(VLOOKUP(F99,Assumptions!$A$16:$C$20,3,FALSE),0.30)</f>
        <v/>
      </c>
      <c r="AA99" s="12">
        <f>IF(P99&lt;&gt;"",P99*X99*W99,IF(L99&lt;&gt;"",L99/(1-Y99),K99))</f>
        <v/>
      </c>
      <c r="AB99" s="12">
        <f>IF(L99&lt;&gt;"",L99/(1-Z99),"")</f>
        <v/>
      </c>
      <c r="AC99" s="12">
        <f>IF(AB99="",AA99,MAX(AA99,AB99))</f>
        <v/>
      </c>
      <c r="AD99" s="10">
        <f>IF(AC99="","",AC99*G99)</f>
        <v/>
      </c>
      <c r="AE99" s="10">
        <f>IF(AD99="","",ROUNDUP(AD99,0)-0.01)</f>
        <v/>
      </c>
      <c r="AF99" s="9">
        <f>IF(P99&lt;&gt;"","Competitor-based",IF(L99&lt;&gt;"","Cost+margin","Needs review"))</f>
        <v/>
      </c>
    </row>
    <row r="100" ht="46" customHeight="1">
      <c r="A100" s="13" t="inlineStr">
        <is>
          <t>custom-printed-stickers-for-jars</t>
        </is>
      </c>
      <c r="B100" s="9" t="inlineStr">
        <is>
          <t>Custom stickers for lids</t>
        </is>
      </c>
      <c r="C100" s="9" t="inlineStr">
        <is>
          <t>Oil Slick Custom Stickers for Lids are made for brands, extract makers, and dispensaries who want their jars looking dialed-in and professional from every angle. Sized for 5ml lids and printed to your artwork, they give …</t>
        </is>
      </c>
      <c r="D100" s="9" t="inlineStr">
        <is>
          <t>Size: 9ml / Quantity: 5000</t>
        </is>
      </c>
      <c r="E100" s="13" t="inlineStr">
        <is>
          <t>CUSTOMJARSTICKER 9ML 5000</t>
        </is>
      </c>
      <c r="F100" s="13" t="inlineStr">
        <is>
          <t>Custom</t>
        </is>
      </c>
      <c r="G100" s="11" t="n">
        <v>5000</v>
      </c>
      <c r="H100" s="13" t="inlineStr">
        <is>
          <t>pcs</t>
        </is>
      </c>
      <c r="I100" s="10" t="n">
        <v>44.99</v>
      </c>
      <c r="J100" s="10" t="inlineStr"/>
      <c r="K100" s="12">
        <f>IFERROR(I100/G100,"")</f>
        <v/>
      </c>
      <c r="L100" s="12">
        <f>IFERROR(J100/G100,"")</f>
        <v/>
      </c>
      <c r="M100" s="14">
        <f>IFERROR((I100-J100)/I100,"")</f>
        <v/>
      </c>
      <c r="N100" s="10" t="inlineStr"/>
      <c r="O100" s="11" t="inlineStr"/>
      <c r="P100" s="12">
        <f>IFERROR(N100/O100,"")</f>
        <v/>
      </c>
      <c r="Q100" s="10" t="inlineStr"/>
      <c r="R100" s="11" t="inlineStr"/>
      <c r="S100" s="12">
        <f>IFERROR(Q100/R100,"")</f>
        <v/>
      </c>
      <c r="T100" s="13" t="inlineStr"/>
      <c r="U100" s="9" t="inlineStr"/>
      <c r="V100" s="9" t="inlineStr"/>
      <c r="W100" s="13">
        <f>IF(G100="","",IF(G100&lt;=Assumptions!$B$9,Assumptions!$C$9,IF(G100&lt;=Assumptions!$B$10,Assumptions!$C$10,IF(G100&lt;=Assumptions!$B$11,Assumptions!$C$11,Assumptions!$C$12))))</f>
        <v/>
      </c>
      <c r="X100" s="13">
        <f>IF(F100="Branded",Assumptions!$B$5,IF(OR(F100="Packaging",F100="Bags"),Assumptions!$B$4,1))</f>
        <v/>
      </c>
      <c r="Y100" s="14">
        <f>IFERROR(VLOOKUP(F100,Assumptions!$A$16:$C$20,2,FALSE),0.40)</f>
        <v/>
      </c>
      <c r="Z100" s="14">
        <f>IFERROR(VLOOKUP(F100,Assumptions!$A$16:$C$20,3,FALSE),0.30)</f>
        <v/>
      </c>
      <c r="AA100" s="12">
        <f>IF(P100&lt;&gt;"",P100*X100*W100,IF(L100&lt;&gt;"",L100/(1-Y100),K100))</f>
        <v/>
      </c>
      <c r="AB100" s="12">
        <f>IF(L100&lt;&gt;"",L100/(1-Z100),"")</f>
        <v/>
      </c>
      <c r="AC100" s="12">
        <f>IF(AB100="",AA100,MAX(AA100,AB100))</f>
        <v/>
      </c>
      <c r="AD100" s="10">
        <f>IF(AC100="","",AC100*G100)</f>
        <v/>
      </c>
      <c r="AE100" s="10">
        <f>IF(AD100="","",ROUNDUP(AD100,0)-0.01)</f>
        <v/>
      </c>
      <c r="AF100" s="9">
        <f>IF(P100&lt;&gt;"","Competitor-based",IF(L100&lt;&gt;"","Cost+margin","Needs review"))</f>
        <v/>
      </c>
    </row>
    <row r="101" ht="46" customHeight="1">
      <c r="A101" s="13" t="inlineStr">
        <is>
          <t>custom-printed-stickers-for-jars</t>
        </is>
      </c>
      <c r="B101" s="9" t="inlineStr">
        <is>
          <t>Custom stickers for lids</t>
        </is>
      </c>
      <c r="C101" s="9" t="inlineStr">
        <is>
          <t>Oil Slick Custom Stickers for Lids are made for brands, extract makers, and dispensaries who want their jars looking dialed-in and professional from every angle. Sized for 5ml lids and printed to your artwork, they give …</t>
        </is>
      </c>
      <c r="D101" s="9" t="inlineStr">
        <is>
          <t>Size: 9ml / Quantity: 10000</t>
        </is>
      </c>
      <c r="E101" s="13" t="inlineStr">
        <is>
          <t>CUSTOMJARSTICKER 9ML 10000</t>
        </is>
      </c>
      <c r="F101" s="13" t="inlineStr">
        <is>
          <t>Custom</t>
        </is>
      </c>
      <c r="G101" s="11" t="n">
        <v>10000</v>
      </c>
      <c r="H101" s="13" t="inlineStr">
        <is>
          <t>pcs</t>
        </is>
      </c>
      <c r="I101" s="10" t="n">
        <v>34.99</v>
      </c>
      <c r="J101" s="10" t="inlineStr"/>
      <c r="K101" s="12">
        <f>IFERROR(I101/G101,"")</f>
        <v/>
      </c>
      <c r="L101" s="12">
        <f>IFERROR(J101/G101,"")</f>
        <v/>
      </c>
      <c r="M101" s="14">
        <f>IFERROR((I101-J101)/I101,"")</f>
        <v/>
      </c>
      <c r="N101" s="10" t="inlineStr"/>
      <c r="O101" s="11" t="inlineStr"/>
      <c r="P101" s="12">
        <f>IFERROR(N101/O101,"")</f>
        <v/>
      </c>
      <c r="Q101" s="10" t="inlineStr"/>
      <c r="R101" s="11" t="inlineStr"/>
      <c r="S101" s="12">
        <f>IFERROR(Q101/R101,"")</f>
        <v/>
      </c>
      <c r="T101" s="13" t="inlineStr"/>
      <c r="U101" s="9" t="inlineStr"/>
      <c r="V101" s="9" t="inlineStr"/>
      <c r="W101" s="13">
        <f>IF(G101="","",IF(G101&lt;=Assumptions!$B$9,Assumptions!$C$9,IF(G101&lt;=Assumptions!$B$10,Assumptions!$C$10,IF(G101&lt;=Assumptions!$B$11,Assumptions!$C$11,Assumptions!$C$12))))</f>
        <v/>
      </c>
      <c r="X101" s="13">
        <f>IF(F101="Branded",Assumptions!$B$5,IF(OR(F101="Packaging",F101="Bags"),Assumptions!$B$4,1))</f>
        <v/>
      </c>
      <c r="Y101" s="14">
        <f>IFERROR(VLOOKUP(F101,Assumptions!$A$16:$C$20,2,FALSE),0.40)</f>
        <v/>
      </c>
      <c r="Z101" s="14">
        <f>IFERROR(VLOOKUP(F101,Assumptions!$A$16:$C$20,3,FALSE),0.30)</f>
        <v/>
      </c>
      <c r="AA101" s="12">
        <f>IF(P101&lt;&gt;"",P101*X101*W101,IF(L101&lt;&gt;"",L101/(1-Y101),K101))</f>
        <v/>
      </c>
      <c r="AB101" s="12">
        <f>IF(L101&lt;&gt;"",L101/(1-Z101),"")</f>
        <v/>
      </c>
      <c r="AC101" s="12">
        <f>IF(AB101="",AA101,MAX(AA101,AB101))</f>
        <v/>
      </c>
      <c r="AD101" s="10">
        <f>IF(AC101="","",AC101*G101)</f>
        <v/>
      </c>
      <c r="AE101" s="10">
        <f>IF(AD101="","",ROUNDUP(AD101,0)-0.01)</f>
        <v/>
      </c>
      <c r="AF101" s="9">
        <f>IF(P101&lt;&gt;"","Competitor-based",IF(L101&lt;&gt;"","Cost+margin","Needs review"))</f>
        <v/>
      </c>
    </row>
    <row r="102" ht="46" customHeight="1">
      <c r="A102" s="13" t="inlineStr">
        <is>
          <t>custom-printed-stickers-for-jars</t>
        </is>
      </c>
      <c r="B102" s="9" t="inlineStr">
        <is>
          <t>Custom stickers for lids</t>
        </is>
      </c>
      <c r="C102" s="9" t="inlineStr">
        <is>
          <t>Oil Slick Custom Stickers for Lids are made for brands, extract makers, and dispensaries who want their jars looking dialed-in and professional from every angle. Sized for 5ml lids and printed to your artwork, they give …</t>
        </is>
      </c>
      <c r="D102" s="9" t="inlineStr">
        <is>
          <t>Size: 3oz / Quantity: 100</t>
        </is>
      </c>
      <c r="E102" s="13" t="inlineStr">
        <is>
          <t>CUSTOMJARSTICKER 3OZ 100</t>
        </is>
      </c>
      <c r="F102" s="13" t="inlineStr">
        <is>
          <t>Custom</t>
        </is>
      </c>
      <c r="G102" s="11" t="n">
        <v>100</v>
      </c>
      <c r="H102" s="13" t="inlineStr">
        <is>
          <t>pcs</t>
        </is>
      </c>
      <c r="I102" s="10" t="n">
        <v>29.99</v>
      </c>
      <c r="J102" s="10" t="inlineStr"/>
      <c r="K102" s="12">
        <f>IFERROR(I102/G102,"")</f>
        <v/>
      </c>
      <c r="L102" s="12">
        <f>IFERROR(J102/G102,"")</f>
        <v/>
      </c>
      <c r="M102" s="14">
        <f>IFERROR((I102-J102)/I102,"")</f>
        <v/>
      </c>
      <c r="N102" s="10" t="inlineStr"/>
      <c r="O102" s="11" t="inlineStr"/>
      <c r="P102" s="12">
        <f>IFERROR(N102/O102,"")</f>
        <v/>
      </c>
      <c r="Q102" s="10" t="inlineStr"/>
      <c r="R102" s="11" t="inlineStr"/>
      <c r="S102" s="12">
        <f>IFERROR(Q102/R102,"")</f>
        <v/>
      </c>
      <c r="T102" s="13" t="inlineStr"/>
      <c r="U102" s="9" t="inlineStr"/>
      <c r="V102" s="9" t="inlineStr"/>
      <c r="W102" s="13">
        <f>IF(G102="","",IF(G102&lt;=Assumptions!$B$9,Assumptions!$C$9,IF(G102&lt;=Assumptions!$B$10,Assumptions!$C$10,IF(G102&lt;=Assumptions!$B$11,Assumptions!$C$11,Assumptions!$C$12))))</f>
        <v/>
      </c>
      <c r="X102" s="13">
        <f>IF(F102="Branded",Assumptions!$B$5,IF(OR(F102="Packaging",F102="Bags"),Assumptions!$B$4,1))</f>
        <v/>
      </c>
      <c r="Y102" s="14">
        <f>IFERROR(VLOOKUP(F102,Assumptions!$A$16:$C$20,2,FALSE),0.40)</f>
        <v/>
      </c>
      <c r="Z102" s="14">
        <f>IFERROR(VLOOKUP(F102,Assumptions!$A$16:$C$20,3,FALSE),0.30)</f>
        <v/>
      </c>
      <c r="AA102" s="12">
        <f>IF(P102&lt;&gt;"",P102*X102*W102,IF(L102&lt;&gt;"",L102/(1-Y102),K102))</f>
        <v/>
      </c>
      <c r="AB102" s="12">
        <f>IF(L102&lt;&gt;"",L102/(1-Z102),"")</f>
        <v/>
      </c>
      <c r="AC102" s="12">
        <f>IF(AB102="",AA102,MAX(AA102,AB102))</f>
        <v/>
      </c>
      <c r="AD102" s="10">
        <f>IF(AC102="","",AC102*G102)</f>
        <v/>
      </c>
      <c r="AE102" s="10">
        <f>IF(AD102="","",ROUNDUP(AD102,0)-0.01)</f>
        <v/>
      </c>
      <c r="AF102" s="9">
        <f>IF(P102&lt;&gt;"","Competitor-based",IF(L102&lt;&gt;"","Cost+margin","Needs review"))</f>
        <v/>
      </c>
    </row>
    <row r="103" ht="46" customHeight="1">
      <c r="A103" s="13" t="inlineStr">
        <is>
          <t>custom-printed-stickers-for-jars</t>
        </is>
      </c>
      <c r="B103" s="9" t="inlineStr">
        <is>
          <t>Custom stickers for lids</t>
        </is>
      </c>
      <c r="C103" s="9" t="inlineStr">
        <is>
          <t>Oil Slick Custom Stickers for Lids are made for brands, extract makers, and dispensaries who want their jars looking dialed-in and professional from every angle. Sized for 5ml lids and printed to your artwork, they give …</t>
        </is>
      </c>
      <c r="D103" s="9" t="inlineStr">
        <is>
          <t>Size: 5oz / Quantity: 100</t>
        </is>
      </c>
      <c r="E103" s="13" t="inlineStr"/>
      <c r="F103" s="13" t="inlineStr">
        <is>
          <t>Custom</t>
        </is>
      </c>
      <c r="G103" s="11" t="n">
        <v>100</v>
      </c>
      <c r="H103" s="13" t="inlineStr">
        <is>
          <t>pcs</t>
        </is>
      </c>
      <c r="I103" s="10" t="n">
        <v>49.99</v>
      </c>
      <c r="J103" s="10" t="inlineStr"/>
      <c r="K103" s="12">
        <f>IFERROR(I103/G103,"")</f>
        <v/>
      </c>
      <c r="L103" s="12">
        <f>IFERROR(J103/G103,"")</f>
        <v/>
      </c>
      <c r="M103" s="14">
        <f>IFERROR((I103-J103)/I103,"")</f>
        <v/>
      </c>
      <c r="N103" s="10" t="inlineStr"/>
      <c r="O103" s="11" t="inlineStr"/>
      <c r="P103" s="12">
        <f>IFERROR(N103/O103,"")</f>
        <v/>
      </c>
      <c r="Q103" s="10" t="inlineStr"/>
      <c r="R103" s="11" t="inlineStr"/>
      <c r="S103" s="12">
        <f>IFERROR(Q103/R103,"")</f>
        <v/>
      </c>
      <c r="T103" s="13" t="inlineStr"/>
      <c r="U103" s="9" t="inlineStr"/>
      <c r="V103" s="9" t="inlineStr"/>
      <c r="W103" s="13">
        <f>IF(G103="","",IF(G103&lt;=Assumptions!$B$9,Assumptions!$C$9,IF(G103&lt;=Assumptions!$B$10,Assumptions!$C$10,IF(G103&lt;=Assumptions!$B$11,Assumptions!$C$11,Assumptions!$C$12))))</f>
        <v/>
      </c>
      <c r="X103" s="13">
        <f>IF(F103="Branded",Assumptions!$B$5,IF(OR(F103="Packaging",F103="Bags"),Assumptions!$B$4,1))</f>
        <v/>
      </c>
      <c r="Y103" s="14">
        <f>IFERROR(VLOOKUP(F103,Assumptions!$A$16:$C$20,2,FALSE),0.40)</f>
        <v/>
      </c>
      <c r="Z103" s="14">
        <f>IFERROR(VLOOKUP(F103,Assumptions!$A$16:$C$20,3,FALSE),0.30)</f>
        <v/>
      </c>
      <c r="AA103" s="12">
        <f>IF(P103&lt;&gt;"",P103*X103*W103,IF(L103&lt;&gt;"",L103/(1-Y103),K103))</f>
        <v/>
      </c>
      <c r="AB103" s="12">
        <f>IF(L103&lt;&gt;"",L103/(1-Z103),"")</f>
        <v/>
      </c>
      <c r="AC103" s="12">
        <f>IF(AB103="",AA103,MAX(AA103,AB103))</f>
        <v/>
      </c>
      <c r="AD103" s="10">
        <f>IF(AC103="","",AC103*G103)</f>
        <v/>
      </c>
      <c r="AE103" s="10">
        <f>IF(AD103="","",ROUNDUP(AD103,0)-0.01)</f>
        <v/>
      </c>
      <c r="AF103" s="9">
        <f>IF(P103&lt;&gt;"","Competitor-based",IF(L103&lt;&gt;"","Cost+margin","Needs review"))</f>
        <v/>
      </c>
    </row>
    <row r="104" ht="46" customHeight="1">
      <c r="A104" s="13" t="inlineStr">
        <is>
          <t>custom-printed-stickers-for-jars</t>
        </is>
      </c>
      <c r="B104" s="9" t="inlineStr">
        <is>
          <t>Custom stickers for lids</t>
        </is>
      </c>
      <c r="C104" s="9" t="inlineStr">
        <is>
          <t>Oil Slick Custom Stickers for Lids are made for brands, extract makers, and dispensaries who want their jars looking dialed-in and professional from every angle. Sized for 5ml lids and printed to your artwork, they give …</t>
        </is>
      </c>
      <c r="D104" s="9" t="inlineStr">
        <is>
          <t>Size: 3oz / Quantity: 200</t>
        </is>
      </c>
      <c r="E104" s="13" t="inlineStr">
        <is>
          <t>CUSTOMJARSTICKER 3OZ 200</t>
        </is>
      </c>
      <c r="F104" s="13" t="inlineStr">
        <is>
          <t>Custom</t>
        </is>
      </c>
      <c r="G104" s="11" t="n">
        <v>200</v>
      </c>
      <c r="H104" s="13" t="inlineStr">
        <is>
          <t>pcs</t>
        </is>
      </c>
      <c r="I104" s="10" t="n">
        <v>67.48999999999999</v>
      </c>
      <c r="J104" s="10" t="inlineStr"/>
      <c r="K104" s="12">
        <f>IFERROR(I104/G104,"")</f>
        <v/>
      </c>
      <c r="L104" s="12">
        <f>IFERROR(J104/G104,"")</f>
        <v/>
      </c>
      <c r="M104" s="14">
        <f>IFERROR((I104-J104)/I104,"")</f>
        <v/>
      </c>
      <c r="N104" s="10" t="inlineStr"/>
      <c r="O104" s="11" t="inlineStr"/>
      <c r="P104" s="12">
        <f>IFERROR(N104/O104,"")</f>
        <v/>
      </c>
      <c r="Q104" s="10" t="inlineStr"/>
      <c r="R104" s="11" t="inlineStr"/>
      <c r="S104" s="12">
        <f>IFERROR(Q104/R104,"")</f>
        <v/>
      </c>
      <c r="T104" s="13" t="inlineStr"/>
      <c r="U104" s="9" t="inlineStr"/>
      <c r="V104" s="9" t="inlineStr"/>
      <c r="W104" s="13">
        <f>IF(G104="","",IF(G104&lt;=Assumptions!$B$9,Assumptions!$C$9,IF(G104&lt;=Assumptions!$B$10,Assumptions!$C$10,IF(G104&lt;=Assumptions!$B$11,Assumptions!$C$11,Assumptions!$C$12))))</f>
        <v/>
      </c>
      <c r="X104" s="13">
        <f>IF(F104="Branded",Assumptions!$B$5,IF(OR(F104="Packaging",F104="Bags"),Assumptions!$B$4,1))</f>
        <v/>
      </c>
      <c r="Y104" s="14">
        <f>IFERROR(VLOOKUP(F104,Assumptions!$A$16:$C$20,2,FALSE),0.40)</f>
        <v/>
      </c>
      <c r="Z104" s="14">
        <f>IFERROR(VLOOKUP(F104,Assumptions!$A$16:$C$20,3,FALSE),0.30)</f>
        <v/>
      </c>
      <c r="AA104" s="12">
        <f>IF(P104&lt;&gt;"",P104*X104*W104,IF(L104&lt;&gt;"",L104/(1-Y104),K104))</f>
        <v/>
      </c>
      <c r="AB104" s="12">
        <f>IF(L104&lt;&gt;"",L104/(1-Z104),"")</f>
        <v/>
      </c>
      <c r="AC104" s="12">
        <f>IF(AB104="",AA104,MAX(AA104,AB104))</f>
        <v/>
      </c>
      <c r="AD104" s="10">
        <f>IF(AC104="","",AC104*G104)</f>
        <v/>
      </c>
      <c r="AE104" s="10">
        <f>IF(AD104="","",ROUNDUP(AD104,0)-0.01)</f>
        <v/>
      </c>
      <c r="AF104" s="9">
        <f>IF(P104&lt;&gt;"","Competitor-based",IF(L104&lt;&gt;"","Cost+margin","Needs review"))</f>
        <v/>
      </c>
    </row>
    <row r="105" ht="46" customHeight="1">
      <c r="A105" s="13" t="inlineStr">
        <is>
          <t>custom-printed-stickers-for-jars</t>
        </is>
      </c>
      <c r="B105" s="9" t="inlineStr">
        <is>
          <t>Custom stickers for lids</t>
        </is>
      </c>
      <c r="C105" s="9" t="inlineStr">
        <is>
          <t>Oil Slick Custom Stickers for Lids are made for brands, extract makers, and dispensaries who want their jars looking dialed-in and professional from every angle. Sized for 5ml lids and printed to your artwork, they give …</t>
        </is>
      </c>
      <c r="D105" s="9" t="inlineStr">
        <is>
          <t>Size: 5oz / Quantity: 200</t>
        </is>
      </c>
      <c r="E105" s="13" t="inlineStr"/>
      <c r="F105" s="13" t="inlineStr">
        <is>
          <t>Custom</t>
        </is>
      </c>
      <c r="G105" s="11" t="n">
        <v>200</v>
      </c>
      <c r="H105" s="13" t="inlineStr">
        <is>
          <t>pcs</t>
        </is>
      </c>
      <c r="I105" s="10" t="n">
        <v>49.99</v>
      </c>
      <c r="J105" s="10" t="inlineStr"/>
      <c r="K105" s="12">
        <f>IFERROR(I105/G105,"")</f>
        <v/>
      </c>
      <c r="L105" s="12">
        <f>IFERROR(J105/G105,"")</f>
        <v/>
      </c>
      <c r="M105" s="14">
        <f>IFERROR((I105-J105)/I105,"")</f>
        <v/>
      </c>
      <c r="N105" s="10" t="inlineStr"/>
      <c r="O105" s="11" t="inlineStr"/>
      <c r="P105" s="12">
        <f>IFERROR(N105/O105,"")</f>
        <v/>
      </c>
      <c r="Q105" s="10" t="inlineStr"/>
      <c r="R105" s="11" t="inlineStr"/>
      <c r="S105" s="12">
        <f>IFERROR(Q105/R105,"")</f>
        <v/>
      </c>
      <c r="T105" s="13" t="inlineStr"/>
      <c r="U105" s="9" t="inlineStr"/>
      <c r="V105" s="9" t="inlineStr"/>
      <c r="W105" s="13">
        <f>IF(G105="","",IF(G105&lt;=Assumptions!$B$9,Assumptions!$C$9,IF(G105&lt;=Assumptions!$B$10,Assumptions!$C$10,IF(G105&lt;=Assumptions!$B$11,Assumptions!$C$11,Assumptions!$C$12))))</f>
        <v/>
      </c>
      <c r="X105" s="13">
        <f>IF(F105="Branded",Assumptions!$B$5,IF(OR(F105="Packaging",F105="Bags"),Assumptions!$B$4,1))</f>
        <v/>
      </c>
      <c r="Y105" s="14">
        <f>IFERROR(VLOOKUP(F105,Assumptions!$A$16:$C$20,2,FALSE),0.40)</f>
        <v/>
      </c>
      <c r="Z105" s="14">
        <f>IFERROR(VLOOKUP(F105,Assumptions!$A$16:$C$20,3,FALSE),0.30)</f>
        <v/>
      </c>
      <c r="AA105" s="12">
        <f>IF(P105&lt;&gt;"",P105*X105*W105,IF(L105&lt;&gt;"",L105/(1-Y105),K105))</f>
        <v/>
      </c>
      <c r="AB105" s="12">
        <f>IF(L105&lt;&gt;"",L105/(1-Z105),"")</f>
        <v/>
      </c>
      <c r="AC105" s="12">
        <f>IF(AB105="",AA105,MAX(AA105,AB105))</f>
        <v/>
      </c>
      <c r="AD105" s="10">
        <f>IF(AC105="","",AC105*G105)</f>
        <v/>
      </c>
      <c r="AE105" s="10">
        <f>IF(AD105="","",ROUNDUP(AD105,0)-0.01)</f>
        <v/>
      </c>
      <c r="AF105" s="9">
        <f>IF(P105&lt;&gt;"","Competitor-based",IF(L105&lt;&gt;"","Cost+margin","Needs review"))</f>
        <v/>
      </c>
    </row>
    <row r="106" ht="46" customHeight="1">
      <c r="A106" s="13" t="inlineStr">
        <is>
          <t>custom-printed-stickers-for-jars</t>
        </is>
      </c>
      <c r="B106" s="9" t="inlineStr">
        <is>
          <t>Custom stickers for lids</t>
        </is>
      </c>
      <c r="C106" s="9" t="inlineStr">
        <is>
          <t>Oil Slick Custom Stickers for Lids are made for brands, extract makers, and dispensaries who want their jars looking dialed-in and professional from every angle. Sized for 5ml lids and printed to your artwork, they give …</t>
        </is>
      </c>
      <c r="D106" s="9" t="inlineStr">
        <is>
          <t>Size: 3oz / Quantity: 500</t>
        </is>
      </c>
      <c r="E106" s="13" t="inlineStr">
        <is>
          <t>CUSTOMJARSTICKER 3OZ 500</t>
        </is>
      </c>
      <c r="F106" s="13" t="inlineStr">
        <is>
          <t>Custom</t>
        </is>
      </c>
      <c r="G106" s="11" t="n">
        <v>500</v>
      </c>
      <c r="H106" s="13" t="inlineStr">
        <is>
          <t>pcs</t>
        </is>
      </c>
      <c r="I106" s="10" t="n">
        <v>24.99</v>
      </c>
      <c r="J106" s="10" t="inlineStr"/>
      <c r="K106" s="12">
        <f>IFERROR(I106/G106,"")</f>
        <v/>
      </c>
      <c r="L106" s="12">
        <f>IFERROR(J106/G106,"")</f>
        <v/>
      </c>
      <c r="M106" s="14">
        <f>IFERROR((I106-J106)/I106,"")</f>
        <v/>
      </c>
      <c r="N106" s="10" t="inlineStr"/>
      <c r="O106" s="11" t="inlineStr"/>
      <c r="P106" s="12">
        <f>IFERROR(N106/O106,"")</f>
        <v/>
      </c>
      <c r="Q106" s="10" t="inlineStr"/>
      <c r="R106" s="11" t="inlineStr"/>
      <c r="S106" s="12">
        <f>IFERROR(Q106/R106,"")</f>
        <v/>
      </c>
      <c r="T106" s="13" t="inlineStr"/>
      <c r="U106" s="9" t="inlineStr"/>
      <c r="V106" s="9" t="inlineStr"/>
      <c r="W106" s="13">
        <f>IF(G106="","",IF(G106&lt;=Assumptions!$B$9,Assumptions!$C$9,IF(G106&lt;=Assumptions!$B$10,Assumptions!$C$10,IF(G106&lt;=Assumptions!$B$11,Assumptions!$C$11,Assumptions!$C$12))))</f>
        <v/>
      </c>
      <c r="X106" s="13">
        <f>IF(F106="Branded",Assumptions!$B$5,IF(OR(F106="Packaging",F106="Bags"),Assumptions!$B$4,1))</f>
        <v/>
      </c>
      <c r="Y106" s="14">
        <f>IFERROR(VLOOKUP(F106,Assumptions!$A$16:$C$20,2,FALSE),0.40)</f>
        <v/>
      </c>
      <c r="Z106" s="14">
        <f>IFERROR(VLOOKUP(F106,Assumptions!$A$16:$C$20,3,FALSE),0.30)</f>
        <v/>
      </c>
      <c r="AA106" s="12">
        <f>IF(P106&lt;&gt;"",P106*X106*W106,IF(L106&lt;&gt;"",L106/(1-Y106),K106))</f>
        <v/>
      </c>
      <c r="AB106" s="12">
        <f>IF(L106&lt;&gt;"",L106/(1-Z106),"")</f>
        <v/>
      </c>
      <c r="AC106" s="12">
        <f>IF(AB106="",AA106,MAX(AA106,AB106))</f>
        <v/>
      </c>
      <c r="AD106" s="10">
        <f>IF(AC106="","",AC106*G106)</f>
        <v/>
      </c>
      <c r="AE106" s="10">
        <f>IF(AD106="","",ROUNDUP(AD106,0)-0.01)</f>
        <v/>
      </c>
      <c r="AF106" s="9">
        <f>IF(P106&lt;&gt;"","Competitor-based",IF(L106&lt;&gt;"","Cost+margin","Needs review"))</f>
        <v/>
      </c>
    </row>
    <row r="107" ht="46" customHeight="1">
      <c r="A107" s="13" t="inlineStr">
        <is>
          <t>custom-printed-stickers-for-jars</t>
        </is>
      </c>
      <c r="B107" s="9" t="inlineStr">
        <is>
          <t>Custom stickers for lids</t>
        </is>
      </c>
      <c r="C107" s="9" t="inlineStr">
        <is>
          <t>Oil Slick Custom Stickers for Lids are made for brands, extract makers, and dispensaries who want their jars looking dialed-in and professional from every angle. Sized for 5ml lids and printed to your artwork, they give …</t>
        </is>
      </c>
      <c r="D107" s="9" t="inlineStr">
        <is>
          <t>Size: 5oz / Quantity: 500</t>
        </is>
      </c>
      <c r="E107" s="13" t="inlineStr"/>
      <c r="F107" s="13" t="inlineStr">
        <is>
          <t>Custom</t>
        </is>
      </c>
      <c r="G107" s="11" t="n">
        <v>500</v>
      </c>
      <c r="H107" s="13" t="inlineStr">
        <is>
          <t>pcs</t>
        </is>
      </c>
      <c r="I107" s="10" t="n">
        <v>39.99</v>
      </c>
      <c r="J107" s="10" t="inlineStr"/>
      <c r="K107" s="12">
        <f>IFERROR(I107/G107,"")</f>
        <v/>
      </c>
      <c r="L107" s="12">
        <f>IFERROR(J107/G107,"")</f>
        <v/>
      </c>
      <c r="M107" s="14">
        <f>IFERROR((I107-J107)/I107,"")</f>
        <v/>
      </c>
      <c r="N107" s="10" t="inlineStr"/>
      <c r="O107" s="11" t="inlineStr"/>
      <c r="P107" s="12">
        <f>IFERROR(N107/O107,"")</f>
        <v/>
      </c>
      <c r="Q107" s="10" t="inlineStr"/>
      <c r="R107" s="11" t="inlineStr"/>
      <c r="S107" s="12">
        <f>IFERROR(Q107/R107,"")</f>
        <v/>
      </c>
      <c r="T107" s="13" t="inlineStr"/>
      <c r="U107" s="9" t="inlineStr"/>
      <c r="V107" s="9" t="inlineStr"/>
      <c r="W107" s="13">
        <f>IF(G107="","",IF(G107&lt;=Assumptions!$B$9,Assumptions!$C$9,IF(G107&lt;=Assumptions!$B$10,Assumptions!$C$10,IF(G107&lt;=Assumptions!$B$11,Assumptions!$C$11,Assumptions!$C$12))))</f>
        <v/>
      </c>
      <c r="X107" s="13">
        <f>IF(F107="Branded",Assumptions!$B$5,IF(OR(F107="Packaging",F107="Bags"),Assumptions!$B$4,1))</f>
        <v/>
      </c>
      <c r="Y107" s="14">
        <f>IFERROR(VLOOKUP(F107,Assumptions!$A$16:$C$20,2,FALSE),0.40)</f>
        <v/>
      </c>
      <c r="Z107" s="14">
        <f>IFERROR(VLOOKUP(F107,Assumptions!$A$16:$C$20,3,FALSE),0.30)</f>
        <v/>
      </c>
      <c r="AA107" s="12">
        <f>IF(P107&lt;&gt;"",P107*X107*W107,IF(L107&lt;&gt;"",L107/(1-Y107),K107))</f>
        <v/>
      </c>
      <c r="AB107" s="12">
        <f>IF(L107&lt;&gt;"",L107/(1-Z107),"")</f>
        <v/>
      </c>
      <c r="AC107" s="12">
        <f>IF(AB107="",AA107,MAX(AA107,AB107))</f>
        <v/>
      </c>
      <c r="AD107" s="10">
        <f>IF(AC107="","",AC107*G107)</f>
        <v/>
      </c>
      <c r="AE107" s="10">
        <f>IF(AD107="","",ROUNDUP(AD107,0)-0.01)</f>
        <v/>
      </c>
      <c r="AF107" s="9">
        <f>IF(P107&lt;&gt;"","Competitor-based",IF(L107&lt;&gt;"","Cost+margin","Needs review"))</f>
        <v/>
      </c>
    </row>
    <row r="108" ht="46" customHeight="1">
      <c r="A108" s="13" t="inlineStr">
        <is>
          <t>custom-printed-stickers-for-jars</t>
        </is>
      </c>
      <c r="B108" s="9" t="inlineStr">
        <is>
          <t>Custom stickers for lids</t>
        </is>
      </c>
      <c r="C108" s="9" t="inlineStr">
        <is>
          <t>Oil Slick Custom Stickers for Lids are made for brands, extract makers, and dispensaries who want their jars looking dialed-in and professional from every angle. Sized for 5ml lids and printed to your artwork, they give …</t>
        </is>
      </c>
      <c r="D108" s="9" t="inlineStr">
        <is>
          <t>Size: 3oz / Quantity: 1000</t>
        </is>
      </c>
      <c r="E108" s="13" t="inlineStr">
        <is>
          <t>CUSTOMJARSTICKER 3OZ 1000</t>
        </is>
      </c>
      <c r="F108" s="13" t="inlineStr">
        <is>
          <t>Custom</t>
        </is>
      </c>
      <c r="G108" s="11" t="n">
        <v>1000</v>
      </c>
      <c r="H108" s="13" t="inlineStr">
        <is>
          <t>pcs</t>
        </is>
      </c>
      <c r="I108" s="10" t="n">
        <v>39.99</v>
      </c>
      <c r="J108" s="10" t="inlineStr"/>
      <c r="K108" s="12">
        <f>IFERROR(I108/G108,"")</f>
        <v/>
      </c>
      <c r="L108" s="12">
        <f>IFERROR(J108/G108,"")</f>
        <v/>
      </c>
      <c r="M108" s="14">
        <f>IFERROR((I108-J108)/I108,"")</f>
        <v/>
      </c>
      <c r="N108" s="10" t="inlineStr"/>
      <c r="O108" s="11" t="inlineStr"/>
      <c r="P108" s="12">
        <f>IFERROR(N108/O108,"")</f>
        <v/>
      </c>
      <c r="Q108" s="10" t="inlineStr"/>
      <c r="R108" s="11" t="inlineStr"/>
      <c r="S108" s="12">
        <f>IFERROR(Q108/R108,"")</f>
        <v/>
      </c>
      <c r="T108" s="13" t="inlineStr"/>
      <c r="U108" s="9" t="inlineStr"/>
      <c r="V108" s="9" t="inlineStr"/>
      <c r="W108" s="13">
        <f>IF(G108="","",IF(G108&lt;=Assumptions!$B$9,Assumptions!$C$9,IF(G108&lt;=Assumptions!$B$10,Assumptions!$C$10,IF(G108&lt;=Assumptions!$B$11,Assumptions!$C$11,Assumptions!$C$12))))</f>
        <v/>
      </c>
      <c r="X108" s="13">
        <f>IF(F108="Branded",Assumptions!$B$5,IF(OR(F108="Packaging",F108="Bags"),Assumptions!$B$4,1))</f>
        <v/>
      </c>
      <c r="Y108" s="14">
        <f>IFERROR(VLOOKUP(F108,Assumptions!$A$16:$C$20,2,FALSE),0.40)</f>
        <v/>
      </c>
      <c r="Z108" s="14">
        <f>IFERROR(VLOOKUP(F108,Assumptions!$A$16:$C$20,3,FALSE),0.30)</f>
        <v/>
      </c>
      <c r="AA108" s="12">
        <f>IF(P108&lt;&gt;"",P108*X108*W108,IF(L108&lt;&gt;"",L108/(1-Y108),K108))</f>
        <v/>
      </c>
      <c r="AB108" s="12">
        <f>IF(L108&lt;&gt;"",L108/(1-Z108),"")</f>
        <v/>
      </c>
      <c r="AC108" s="12">
        <f>IF(AB108="",AA108,MAX(AA108,AB108))</f>
        <v/>
      </c>
      <c r="AD108" s="10">
        <f>IF(AC108="","",AC108*G108)</f>
        <v/>
      </c>
      <c r="AE108" s="10">
        <f>IF(AD108="","",ROUNDUP(AD108,0)-0.01)</f>
        <v/>
      </c>
      <c r="AF108" s="9">
        <f>IF(P108&lt;&gt;"","Competitor-based",IF(L108&lt;&gt;"","Cost+margin","Needs review"))</f>
        <v/>
      </c>
    </row>
    <row r="109" ht="46" customHeight="1">
      <c r="A109" s="13" t="inlineStr">
        <is>
          <t>custom-printed-stickers-for-jars</t>
        </is>
      </c>
      <c r="B109" s="9" t="inlineStr">
        <is>
          <t>Custom stickers for lids</t>
        </is>
      </c>
      <c r="C109" s="9" t="inlineStr">
        <is>
          <t>Oil Slick Custom Stickers for Lids are made for brands, extract makers, and dispensaries who want their jars looking dialed-in and professional from every angle. Sized for 5ml lids and printed to your artwork, they give …</t>
        </is>
      </c>
      <c r="D109" s="9" t="inlineStr">
        <is>
          <t>Size: 5oz / Quantity: 1000</t>
        </is>
      </c>
      <c r="E109" s="13" t="inlineStr"/>
      <c r="F109" s="13" t="inlineStr">
        <is>
          <t>Custom</t>
        </is>
      </c>
      <c r="G109" s="11" t="n">
        <v>1000</v>
      </c>
      <c r="H109" s="13" t="inlineStr">
        <is>
          <t>pcs</t>
        </is>
      </c>
      <c r="I109" s="10" t="n">
        <v>69.98999999999999</v>
      </c>
      <c r="J109" s="10" t="inlineStr"/>
      <c r="K109" s="12">
        <f>IFERROR(I109/G109,"")</f>
        <v/>
      </c>
      <c r="L109" s="12">
        <f>IFERROR(J109/G109,"")</f>
        <v/>
      </c>
      <c r="M109" s="14">
        <f>IFERROR((I109-J109)/I109,"")</f>
        <v/>
      </c>
      <c r="N109" s="10" t="inlineStr"/>
      <c r="O109" s="11" t="inlineStr"/>
      <c r="P109" s="12">
        <f>IFERROR(N109/O109,"")</f>
        <v/>
      </c>
      <c r="Q109" s="10" t="inlineStr"/>
      <c r="R109" s="11" t="inlineStr"/>
      <c r="S109" s="12">
        <f>IFERROR(Q109/R109,"")</f>
        <v/>
      </c>
      <c r="T109" s="13" t="inlineStr"/>
      <c r="U109" s="9" t="inlineStr"/>
      <c r="V109" s="9" t="inlineStr"/>
      <c r="W109" s="13">
        <f>IF(G109="","",IF(G109&lt;=Assumptions!$B$9,Assumptions!$C$9,IF(G109&lt;=Assumptions!$B$10,Assumptions!$C$10,IF(G109&lt;=Assumptions!$B$11,Assumptions!$C$11,Assumptions!$C$12))))</f>
        <v/>
      </c>
      <c r="X109" s="13">
        <f>IF(F109="Branded",Assumptions!$B$5,IF(OR(F109="Packaging",F109="Bags"),Assumptions!$B$4,1))</f>
        <v/>
      </c>
      <c r="Y109" s="14">
        <f>IFERROR(VLOOKUP(F109,Assumptions!$A$16:$C$20,2,FALSE),0.40)</f>
        <v/>
      </c>
      <c r="Z109" s="14">
        <f>IFERROR(VLOOKUP(F109,Assumptions!$A$16:$C$20,3,FALSE),0.30)</f>
        <v/>
      </c>
      <c r="AA109" s="12">
        <f>IF(P109&lt;&gt;"",P109*X109*W109,IF(L109&lt;&gt;"",L109/(1-Y109),K109))</f>
        <v/>
      </c>
      <c r="AB109" s="12">
        <f>IF(L109&lt;&gt;"",L109/(1-Z109),"")</f>
        <v/>
      </c>
      <c r="AC109" s="12">
        <f>IF(AB109="",AA109,MAX(AA109,AB109))</f>
        <v/>
      </c>
      <c r="AD109" s="10">
        <f>IF(AC109="","",AC109*G109)</f>
        <v/>
      </c>
      <c r="AE109" s="10">
        <f>IF(AD109="","",ROUNDUP(AD109,0)-0.01)</f>
        <v/>
      </c>
      <c r="AF109" s="9">
        <f>IF(P109&lt;&gt;"","Competitor-based",IF(L109&lt;&gt;"","Cost+margin","Needs review"))</f>
        <v/>
      </c>
    </row>
    <row r="110" ht="46" customHeight="1">
      <c r="A110" s="13" t="inlineStr">
        <is>
          <t>custom-printed-stickers-for-jars</t>
        </is>
      </c>
      <c r="B110" s="9" t="inlineStr">
        <is>
          <t>Custom stickers for lids</t>
        </is>
      </c>
      <c r="C110" s="9" t="inlineStr">
        <is>
          <t>Oil Slick Custom Stickers for Lids are made for brands, extract makers, and dispensaries who want their jars looking dialed-in and professional from every angle. Sized for 5ml lids and printed to your artwork, they give …</t>
        </is>
      </c>
      <c r="D110" s="9" t="inlineStr">
        <is>
          <t>Size: 3oz / Quantity: 5000</t>
        </is>
      </c>
      <c r="E110" s="13" t="inlineStr">
        <is>
          <t>CUSTOMJARSTICKER 3OZ 5000</t>
        </is>
      </c>
      <c r="F110" s="13" t="inlineStr">
        <is>
          <t>Custom</t>
        </is>
      </c>
      <c r="G110" s="11" t="n">
        <v>5000</v>
      </c>
      <c r="H110" s="13" t="inlineStr">
        <is>
          <t>pcs</t>
        </is>
      </c>
      <c r="I110" s="10" t="n">
        <v>79.98999999999999</v>
      </c>
      <c r="J110" s="10" t="inlineStr"/>
      <c r="K110" s="12">
        <f>IFERROR(I110/G110,"")</f>
        <v/>
      </c>
      <c r="L110" s="12">
        <f>IFERROR(J110/G110,"")</f>
        <v/>
      </c>
      <c r="M110" s="14">
        <f>IFERROR((I110-J110)/I110,"")</f>
        <v/>
      </c>
      <c r="N110" s="10" t="inlineStr"/>
      <c r="O110" s="11" t="inlineStr"/>
      <c r="P110" s="12">
        <f>IFERROR(N110/O110,"")</f>
        <v/>
      </c>
      <c r="Q110" s="10" t="inlineStr"/>
      <c r="R110" s="11" t="inlineStr"/>
      <c r="S110" s="12">
        <f>IFERROR(Q110/R110,"")</f>
        <v/>
      </c>
      <c r="T110" s="13" t="inlineStr"/>
      <c r="U110" s="9" t="inlineStr"/>
      <c r="V110" s="9" t="inlineStr"/>
      <c r="W110" s="13">
        <f>IF(G110="","",IF(G110&lt;=Assumptions!$B$9,Assumptions!$C$9,IF(G110&lt;=Assumptions!$B$10,Assumptions!$C$10,IF(G110&lt;=Assumptions!$B$11,Assumptions!$C$11,Assumptions!$C$12))))</f>
        <v/>
      </c>
      <c r="X110" s="13">
        <f>IF(F110="Branded",Assumptions!$B$5,IF(OR(F110="Packaging",F110="Bags"),Assumptions!$B$4,1))</f>
        <v/>
      </c>
      <c r="Y110" s="14">
        <f>IFERROR(VLOOKUP(F110,Assumptions!$A$16:$C$20,2,FALSE),0.40)</f>
        <v/>
      </c>
      <c r="Z110" s="14">
        <f>IFERROR(VLOOKUP(F110,Assumptions!$A$16:$C$20,3,FALSE),0.30)</f>
        <v/>
      </c>
      <c r="AA110" s="12">
        <f>IF(P110&lt;&gt;"",P110*X110*W110,IF(L110&lt;&gt;"",L110/(1-Y110),K110))</f>
        <v/>
      </c>
      <c r="AB110" s="12">
        <f>IF(L110&lt;&gt;"",L110/(1-Z110),"")</f>
        <v/>
      </c>
      <c r="AC110" s="12">
        <f>IF(AB110="",AA110,MAX(AA110,AB110))</f>
        <v/>
      </c>
      <c r="AD110" s="10">
        <f>IF(AC110="","",AC110*G110)</f>
        <v/>
      </c>
      <c r="AE110" s="10">
        <f>IF(AD110="","",ROUNDUP(AD110,0)-0.01)</f>
        <v/>
      </c>
      <c r="AF110" s="9">
        <f>IF(P110&lt;&gt;"","Competitor-based",IF(L110&lt;&gt;"","Cost+margin","Needs review"))</f>
        <v/>
      </c>
    </row>
    <row r="111" ht="46" customHeight="1">
      <c r="A111" s="13" t="inlineStr">
        <is>
          <t>custom-printed-stickers-for-jars</t>
        </is>
      </c>
      <c r="B111" s="9" t="inlineStr">
        <is>
          <t>Custom stickers for lids</t>
        </is>
      </c>
      <c r="C111" s="9" t="inlineStr">
        <is>
          <t>Oil Slick Custom Stickers for Lids are made for brands, extract makers, and dispensaries who want their jars looking dialed-in and professional from every angle. Sized for 5ml lids and printed to your artwork, they give …</t>
        </is>
      </c>
      <c r="D111" s="9" t="inlineStr">
        <is>
          <t>Size: 5oz / Quantity: 5000</t>
        </is>
      </c>
      <c r="E111" s="13" t="inlineStr"/>
      <c r="F111" s="13" t="inlineStr">
        <is>
          <t>Custom</t>
        </is>
      </c>
      <c r="G111" s="11" t="n">
        <v>5000</v>
      </c>
      <c r="H111" s="13" t="inlineStr">
        <is>
          <t>pcs</t>
        </is>
      </c>
      <c r="I111" s="10" t="n">
        <v>65</v>
      </c>
      <c r="J111" s="10" t="inlineStr"/>
      <c r="K111" s="12">
        <f>IFERROR(I111/G111,"")</f>
        <v/>
      </c>
      <c r="L111" s="12">
        <f>IFERROR(J111/G111,"")</f>
        <v/>
      </c>
      <c r="M111" s="14">
        <f>IFERROR((I111-J111)/I111,"")</f>
        <v/>
      </c>
      <c r="N111" s="10" t="inlineStr"/>
      <c r="O111" s="11" t="inlineStr"/>
      <c r="P111" s="12">
        <f>IFERROR(N111/O111,"")</f>
        <v/>
      </c>
      <c r="Q111" s="10" t="inlineStr"/>
      <c r="R111" s="11" t="inlineStr"/>
      <c r="S111" s="12">
        <f>IFERROR(Q111/R111,"")</f>
        <v/>
      </c>
      <c r="T111" s="13" t="inlineStr"/>
      <c r="U111" s="9" t="inlineStr"/>
      <c r="V111" s="9" t="inlineStr"/>
      <c r="W111" s="13">
        <f>IF(G111="","",IF(G111&lt;=Assumptions!$B$9,Assumptions!$C$9,IF(G111&lt;=Assumptions!$B$10,Assumptions!$C$10,IF(G111&lt;=Assumptions!$B$11,Assumptions!$C$11,Assumptions!$C$12))))</f>
        <v/>
      </c>
      <c r="X111" s="13">
        <f>IF(F111="Branded",Assumptions!$B$5,IF(OR(F111="Packaging",F111="Bags"),Assumptions!$B$4,1))</f>
        <v/>
      </c>
      <c r="Y111" s="14">
        <f>IFERROR(VLOOKUP(F111,Assumptions!$A$16:$C$20,2,FALSE),0.40)</f>
        <v/>
      </c>
      <c r="Z111" s="14">
        <f>IFERROR(VLOOKUP(F111,Assumptions!$A$16:$C$20,3,FALSE),0.30)</f>
        <v/>
      </c>
      <c r="AA111" s="12">
        <f>IF(P111&lt;&gt;"",P111*X111*W111,IF(L111&lt;&gt;"",L111/(1-Y111),K111))</f>
        <v/>
      </c>
      <c r="AB111" s="12">
        <f>IF(L111&lt;&gt;"",L111/(1-Z111),"")</f>
        <v/>
      </c>
      <c r="AC111" s="12">
        <f>IF(AB111="",AA111,MAX(AA111,AB111))</f>
        <v/>
      </c>
      <c r="AD111" s="10">
        <f>IF(AC111="","",AC111*G111)</f>
        <v/>
      </c>
      <c r="AE111" s="10">
        <f>IF(AD111="","",ROUNDUP(AD111,0)-0.01)</f>
        <v/>
      </c>
      <c r="AF111" s="9">
        <f>IF(P111&lt;&gt;"","Competitor-based",IF(L111&lt;&gt;"","Cost+margin","Needs review"))</f>
        <v/>
      </c>
    </row>
    <row r="112" ht="46" customHeight="1">
      <c r="A112" s="13" t="inlineStr">
        <is>
          <t>custom-printed-stickers-for-jars</t>
        </is>
      </c>
      <c r="B112" s="9" t="inlineStr">
        <is>
          <t>Custom stickers for lids</t>
        </is>
      </c>
      <c r="C112" s="9" t="inlineStr">
        <is>
          <t>Oil Slick Custom Stickers for Lids are made for brands, extract makers, and dispensaries who want their jars looking dialed-in and professional from every angle. Sized for 5ml lids and printed to your artwork, they give …</t>
        </is>
      </c>
      <c r="D112" s="9" t="inlineStr">
        <is>
          <t>Size: 3oz / Quantity: 10000</t>
        </is>
      </c>
      <c r="E112" s="13" t="inlineStr">
        <is>
          <t>CUSTOMJARSTICKER 3OZ 10000</t>
        </is>
      </c>
      <c r="F112" s="13" t="inlineStr">
        <is>
          <t>Custom</t>
        </is>
      </c>
      <c r="G112" s="11" t="n">
        <v>10000</v>
      </c>
      <c r="H112" s="13" t="inlineStr">
        <is>
          <t>pcs</t>
        </is>
      </c>
      <c r="I112" s="10" t="n">
        <v>67.48999999999999</v>
      </c>
      <c r="J112" s="10" t="inlineStr"/>
      <c r="K112" s="12">
        <f>IFERROR(I112/G112,"")</f>
        <v/>
      </c>
      <c r="L112" s="12">
        <f>IFERROR(J112/G112,"")</f>
        <v/>
      </c>
      <c r="M112" s="14">
        <f>IFERROR((I112-J112)/I112,"")</f>
        <v/>
      </c>
      <c r="N112" s="10" t="inlineStr"/>
      <c r="O112" s="11" t="inlineStr"/>
      <c r="P112" s="12">
        <f>IFERROR(N112/O112,"")</f>
        <v/>
      </c>
      <c r="Q112" s="10" t="inlineStr"/>
      <c r="R112" s="11" t="inlineStr"/>
      <c r="S112" s="12">
        <f>IFERROR(Q112/R112,"")</f>
        <v/>
      </c>
      <c r="T112" s="13" t="inlineStr"/>
      <c r="U112" s="9" t="inlineStr"/>
      <c r="V112" s="9" t="inlineStr"/>
      <c r="W112" s="13">
        <f>IF(G112="","",IF(G112&lt;=Assumptions!$B$9,Assumptions!$C$9,IF(G112&lt;=Assumptions!$B$10,Assumptions!$C$10,IF(G112&lt;=Assumptions!$B$11,Assumptions!$C$11,Assumptions!$C$12))))</f>
        <v/>
      </c>
      <c r="X112" s="13">
        <f>IF(F112="Branded",Assumptions!$B$5,IF(OR(F112="Packaging",F112="Bags"),Assumptions!$B$4,1))</f>
        <v/>
      </c>
      <c r="Y112" s="14">
        <f>IFERROR(VLOOKUP(F112,Assumptions!$A$16:$C$20,2,FALSE),0.40)</f>
        <v/>
      </c>
      <c r="Z112" s="14">
        <f>IFERROR(VLOOKUP(F112,Assumptions!$A$16:$C$20,3,FALSE),0.30)</f>
        <v/>
      </c>
      <c r="AA112" s="12">
        <f>IF(P112&lt;&gt;"",P112*X112*W112,IF(L112&lt;&gt;"",L112/(1-Y112),K112))</f>
        <v/>
      </c>
      <c r="AB112" s="12">
        <f>IF(L112&lt;&gt;"",L112/(1-Z112),"")</f>
        <v/>
      </c>
      <c r="AC112" s="12">
        <f>IF(AB112="",AA112,MAX(AA112,AB112))</f>
        <v/>
      </c>
      <c r="AD112" s="10">
        <f>IF(AC112="","",AC112*G112)</f>
        <v/>
      </c>
      <c r="AE112" s="10">
        <f>IF(AD112="","",ROUNDUP(AD112,0)-0.01)</f>
        <v/>
      </c>
      <c r="AF112" s="9">
        <f>IF(P112&lt;&gt;"","Competitor-based",IF(L112&lt;&gt;"","Cost+margin","Needs review"))</f>
        <v/>
      </c>
    </row>
    <row r="113" ht="46" customHeight="1">
      <c r="A113" s="13" t="inlineStr">
        <is>
          <t>custom-printed-stickers-for-jars</t>
        </is>
      </c>
      <c r="B113" s="9" t="inlineStr">
        <is>
          <t>Custom stickers for lids</t>
        </is>
      </c>
      <c r="C113" s="9" t="inlineStr">
        <is>
          <t>Oil Slick Custom Stickers for Lids are made for brands, extract makers, and dispensaries who want their jars looking dialed-in and professional from every angle. Sized for 5ml lids and printed to your artwork, they give …</t>
        </is>
      </c>
      <c r="D113" s="9" t="inlineStr">
        <is>
          <t>Size: 5oz / Quantity: 10000</t>
        </is>
      </c>
      <c r="E113" s="13" t="inlineStr"/>
      <c r="F113" s="13" t="inlineStr">
        <is>
          <t>Custom</t>
        </is>
      </c>
      <c r="G113" s="11" t="n">
        <v>10000</v>
      </c>
      <c r="H113" s="13" t="inlineStr">
        <is>
          <t>pcs</t>
        </is>
      </c>
      <c r="I113" s="10" t="n">
        <v>29.99</v>
      </c>
      <c r="J113" s="10" t="inlineStr"/>
      <c r="K113" s="12">
        <f>IFERROR(I113/G113,"")</f>
        <v/>
      </c>
      <c r="L113" s="12">
        <f>IFERROR(J113/G113,"")</f>
        <v/>
      </c>
      <c r="M113" s="14">
        <f>IFERROR((I113-J113)/I113,"")</f>
        <v/>
      </c>
      <c r="N113" s="10" t="inlineStr"/>
      <c r="O113" s="11" t="inlineStr"/>
      <c r="P113" s="12">
        <f>IFERROR(N113/O113,"")</f>
        <v/>
      </c>
      <c r="Q113" s="10" t="inlineStr"/>
      <c r="R113" s="11" t="inlineStr"/>
      <c r="S113" s="12">
        <f>IFERROR(Q113/R113,"")</f>
        <v/>
      </c>
      <c r="T113" s="13" t="inlineStr"/>
      <c r="U113" s="9" t="inlineStr"/>
      <c r="V113" s="9" t="inlineStr"/>
      <c r="W113" s="13">
        <f>IF(G113="","",IF(G113&lt;=Assumptions!$B$9,Assumptions!$C$9,IF(G113&lt;=Assumptions!$B$10,Assumptions!$C$10,IF(G113&lt;=Assumptions!$B$11,Assumptions!$C$11,Assumptions!$C$12))))</f>
        <v/>
      </c>
      <c r="X113" s="13">
        <f>IF(F113="Branded",Assumptions!$B$5,IF(OR(F113="Packaging",F113="Bags"),Assumptions!$B$4,1))</f>
        <v/>
      </c>
      <c r="Y113" s="14">
        <f>IFERROR(VLOOKUP(F113,Assumptions!$A$16:$C$20,2,FALSE),0.40)</f>
        <v/>
      </c>
      <c r="Z113" s="14">
        <f>IFERROR(VLOOKUP(F113,Assumptions!$A$16:$C$20,3,FALSE),0.30)</f>
        <v/>
      </c>
      <c r="AA113" s="12">
        <f>IF(P113&lt;&gt;"",P113*X113*W113,IF(L113&lt;&gt;"",L113/(1-Y113),K113))</f>
        <v/>
      </c>
      <c r="AB113" s="12">
        <f>IF(L113&lt;&gt;"",L113/(1-Z113),"")</f>
        <v/>
      </c>
      <c r="AC113" s="12">
        <f>IF(AB113="",AA113,MAX(AA113,AB113))</f>
        <v/>
      </c>
      <c r="AD113" s="10">
        <f>IF(AC113="","",AC113*G113)</f>
        <v/>
      </c>
      <c r="AE113" s="10">
        <f>IF(AD113="","",ROUNDUP(AD113,0)-0.01)</f>
        <v/>
      </c>
      <c r="AF113" s="9">
        <f>IF(P113&lt;&gt;"","Competitor-based",IF(L113&lt;&gt;"","Cost+margin","Needs review"))</f>
        <v/>
      </c>
    </row>
    <row r="114" ht="46" customHeight="1">
      <c r="A114" s="13" t="inlineStr">
        <is>
          <t>9ml-child-resistant-jar-with-black-lids</t>
        </is>
      </c>
      <c r="B114" s="9" t="inlineStr">
        <is>
          <t>9ml Child Resistant Glass Jar with Lids</t>
        </is>
      </c>
      <c r="C114" s="9" t="inlineStr">
        <is>
          <t>The Oil Slick 9ml Child Resistant Glass Jar is a compact glass container designed for extractors, processors, and cannabis brands packaging single grams, samples, or small concentrate portions. Each jar ships with a matc…</t>
        </is>
      </c>
      <c r="D114" s="9" t="inlineStr">
        <is>
          <t>Quantity: 64 / Color: Black</t>
        </is>
      </c>
      <c r="E114" s="13" t="inlineStr">
        <is>
          <t>9MLB-64</t>
        </is>
      </c>
      <c r="F114" s="13" t="inlineStr">
        <is>
          <t>Packaging</t>
        </is>
      </c>
      <c r="G114" s="11" t="n">
        <v>64</v>
      </c>
      <c r="H114" s="13" t="inlineStr">
        <is>
          <t>pcs</t>
        </is>
      </c>
      <c r="I114" s="10" t="n">
        <v>39.99</v>
      </c>
      <c r="J114" s="10" t="inlineStr"/>
      <c r="K114" s="12">
        <f>IFERROR(I114/G114,"")</f>
        <v/>
      </c>
      <c r="L114" s="12">
        <f>IFERROR(J114/G114,"")</f>
        <v/>
      </c>
      <c r="M114" s="14">
        <f>IFERROR((I114-J114)/I114,"")</f>
        <v/>
      </c>
      <c r="N114" s="10" t="inlineStr"/>
      <c r="O114" s="11" t="inlineStr"/>
      <c r="P114" s="12">
        <f>IFERROR(N114/O114,"")</f>
        <v/>
      </c>
      <c r="Q114" s="10" t="inlineStr"/>
      <c r="R114" s="11" t="inlineStr"/>
      <c r="S114" s="12">
        <f>IFERROR(Q114/R114,"")</f>
        <v/>
      </c>
      <c r="T114" s="13" t="inlineStr"/>
      <c r="U114" s="9" t="inlineStr"/>
      <c r="V114" s="9" t="inlineStr"/>
      <c r="W114" s="13">
        <f>IF(G114="","",IF(G114&lt;=Assumptions!$B$9,Assumptions!$C$9,IF(G114&lt;=Assumptions!$B$10,Assumptions!$C$10,IF(G114&lt;=Assumptions!$B$11,Assumptions!$C$11,Assumptions!$C$12))))</f>
        <v/>
      </c>
      <c r="X114" s="13">
        <f>IF(F114="Branded",Assumptions!$B$5,IF(OR(F114="Packaging",F114="Bags"),Assumptions!$B$4,1))</f>
        <v/>
      </c>
      <c r="Y114" s="14">
        <f>IFERROR(VLOOKUP(F114,Assumptions!$A$16:$C$20,2,FALSE),0.40)</f>
        <v/>
      </c>
      <c r="Z114" s="14">
        <f>IFERROR(VLOOKUP(F114,Assumptions!$A$16:$C$20,3,FALSE),0.30)</f>
        <v/>
      </c>
      <c r="AA114" s="12">
        <f>IF(P114&lt;&gt;"",P114*X114*W114,IF(L114&lt;&gt;"",L114/(1-Y114),K114))</f>
        <v/>
      </c>
      <c r="AB114" s="12">
        <f>IF(L114&lt;&gt;"",L114/(1-Z114),"")</f>
        <v/>
      </c>
      <c r="AC114" s="12">
        <f>IF(AB114="",AA114,MAX(AA114,AB114))</f>
        <v/>
      </c>
      <c r="AD114" s="10">
        <f>IF(AC114="","",AC114*G114)</f>
        <v/>
      </c>
      <c r="AE114" s="10">
        <f>IF(AD114="","",ROUNDUP(AD114,0)-0.01)</f>
        <v/>
      </c>
      <c r="AF114" s="9">
        <f>IF(P114&lt;&gt;"","Competitor-based",IF(L114&lt;&gt;"","Cost+margin","Needs review"))</f>
        <v/>
      </c>
    </row>
    <row r="115" ht="46" customHeight="1">
      <c r="A115" s="13" t="inlineStr">
        <is>
          <t>9ml-child-resistant-jar-with-black-lids</t>
        </is>
      </c>
      <c r="B115" s="9" t="inlineStr">
        <is>
          <t>9ml Child Resistant Glass Jar with Lids</t>
        </is>
      </c>
      <c r="C115" s="9" t="inlineStr">
        <is>
          <t>The Oil Slick 9ml Child Resistant Glass Jar is a compact glass container designed for extractors, processors, and cannabis brands packaging single grams, samples, or small concentrate portions. Each jar ships with a matc…</t>
        </is>
      </c>
      <c r="D115" s="9" t="inlineStr">
        <is>
          <t>Quantity: 128 / Color: Black</t>
        </is>
      </c>
      <c r="E115" s="13" t="inlineStr">
        <is>
          <t>9MLB-128</t>
        </is>
      </c>
      <c r="F115" s="13" t="inlineStr">
        <is>
          <t>Packaging</t>
        </is>
      </c>
      <c r="G115" s="11" t="n">
        <v>128</v>
      </c>
      <c r="H115" s="13" t="inlineStr">
        <is>
          <t>pcs</t>
        </is>
      </c>
      <c r="I115" s="10" t="n">
        <v>29.99</v>
      </c>
      <c r="J115" s="10" t="inlineStr"/>
      <c r="K115" s="12">
        <f>IFERROR(I115/G115,"")</f>
        <v/>
      </c>
      <c r="L115" s="12">
        <f>IFERROR(J115/G115,"")</f>
        <v/>
      </c>
      <c r="M115" s="14">
        <f>IFERROR((I115-J115)/I115,"")</f>
        <v/>
      </c>
      <c r="N115" s="10" t="inlineStr"/>
      <c r="O115" s="11" t="inlineStr"/>
      <c r="P115" s="12">
        <f>IFERROR(N115/O115,"")</f>
        <v/>
      </c>
      <c r="Q115" s="10" t="inlineStr"/>
      <c r="R115" s="11" t="inlineStr"/>
      <c r="S115" s="12">
        <f>IFERROR(Q115/R115,"")</f>
        <v/>
      </c>
      <c r="T115" s="13" t="inlineStr"/>
      <c r="U115" s="9" t="inlineStr"/>
      <c r="V115" s="9" t="inlineStr"/>
      <c r="W115" s="13">
        <f>IF(G115="","",IF(G115&lt;=Assumptions!$B$9,Assumptions!$C$9,IF(G115&lt;=Assumptions!$B$10,Assumptions!$C$10,IF(G115&lt;=Assumptions!$B$11,Assumptions!$C$11,Assumptions!$C$12))))</f>
        <v/>
      </c>
      <c r="X115" s="13">
        <f>IF(F115="Branded",Assumptions!$B$5,IF(OR(F115="Packaging",F115="Bags"),Assumptions!$B$4,1))</f>
        <v/>
      </c>
      <c r="Y115" s="14">
        <f>IFERROR(VLOOKUP(F115,Assumptions!$A$16:$C$20,2,FALSE),0.40)</f>
        <v/>
      </c>
      <c r="Z115" s="14">
        <f>IFERROR(VLOOKUP(F115,Assumptions!$A$16:$C$20,3,FALSE),0.30)</f>
        <v/>
      </c>
      <c r="AA115" s="12">
        <f>IF(P115&lt;&gt;"",P115*X115*W115,IF(L115&lt;&gt;"",L115/(1-Y115),K115))</f>
        <v/>
      </c>
      <c r="AB115" s="12">
        <f>IF(L115&lt;&gt;"",L115/(1-Z115),"")</f>
        <v/>
      </c>
      <c r="AC115" s="12">
        <f>IF(AB115="",AA115,MAX(AA115,AB115))</f>
        <v/>
      </c>
      <c r="AD115" s="10">
        <f>IF(AC115="","",AC115*G115)</f>
        <v/>
      </c>
      <c r="AE115" s="10">
        <f>IF(AD115="","",ROUNDUP(AD115,0)-0.01)</f>
        <v/>
      </c>
      <c r="AF115" s="9">
        <f>IF(P115&lt;&gt;"","Competitor-based",IF(L115&lt;&gt;"","Cost+margin","Needs review"))</f>
        <v/>
      </c>
    </row>
    <row r="116" ht="46" customHeight="1">
      <c r="A116" s="13" t="inlineStr">
        <is>
          <t>9ml-child-resistant-jar-with-black-lids</t>
        </is>
      </c>
      <c r="B116" s="9" t="inlineStr">
        <is>
          <t>9ml Child Resistant Glass Jar with Lids</t>
        </is>
      </c>
      <c r="C116" s="9" t="inlineStr">
        <is>
          <t>The Oil Slick 9ml Child Resistant Glass Jar is a compact glass container designed for extractors, processors, and cannabis brands packaging single grams, samples, or small concentrate portions. Each jar ships with a matc…</t>
        </is>
      </c>
      <c r="D116" s="9" t="inlineStr">
        <is>
          <t>Quantity: 320 / Color: Black</t>
        </is>
      </c>
      <c r="E116" s="13" t="inlineStr">
        <is>
          <t>9MLB-320</t>
        </is>
      </c>
      <c r="F116" s="13" t="inlineStr">
        <is>
          <t>Packaging</t>
        </is>
      </c>
      <c r="G116" s="11" t="n">
        <v>320</v>
      </c>
      <c r="H116" s="13" t="inlineStr">
        <is>
          <t>pcs</t>
        </is>
      </c>
      <c r="I116" s="10" t="n">
        <v>27.99</v>
      </c>
      <c r="J116" s="10" t="inlineStr"/>
      <c r="K116" s="12">
        <f>IFERROR(I116/G116,"")</f>
        <v/>
      </c>
      <c r="L116" s="12">
        <f>IFERROR(J116/G116,"")</f>
        <v/>
      </c>
      <c r="M116" s="14">
        <f>IFERROR((I116-J116)/I116,"")</f>
        <v/>
      </c>
      <c r="N116" s="10" t="inlineStr"/>
      <c r="O116" s="11" t="inlineStr"/>
      <c r="P116" s="12">
        <f>IFERROR(N116/O116,"")</f>
        <v/>
      </c>
      <c r="Q116" s="10" t="inlineStr"/>
      <c r="R116" s="11" t="inlineStr"/>
      <c r="S116" s="12">
        <f>IFERROR(Q116/R116,"")</f>
        <v/>
      </c>
      <c r="T116" s="13" t="inlineStr"/>
      <c r="U116" s="9" t="inlineStr"/>
      <c r="V116" s="9" t="inlineStr"/>
      <c r="W116" s="13">
        <f>IF(G116="","",IF(G116&lt;=Assumptions!$B$9,Assumptions!$C$9,IF(G116&lt;=Assumptions!$B$10,Assumptions!$C$10,IF(G116&lt;=Assumptions!$B$11,Assumptions!$C$11,Assumptions!$C$12))))</f>
        <v/>
      </c>
      <c r="X116" s="13">
        <f>IF(F116="Branded",Assumptions!$B$5,IF(OR(F116="Packaging",F116="Bags"),Assumptions!$B$4,1))</f>
        <v/>
      </c>
      <c r="Y116" s="14">
        <f>IFERROR(VLOOKUP(F116,Assumptions!$A$16:$C$20,2,FALSE),0.40)</f>
        <v/>
      </c>
      <c r="Z116" s="14">
        <f>IFERROR(VLOOKUP(F116,Assumptions!$A$16:$C$20,3,FALSE),0.30)</f>
        <v/>
      </c>
      <c r="AA116" s="12">
        <f>IF(P116&lt;&gt;"",P116*X116*W116,IF(L116&lt;&gt;"",L116/(1-Y116),K116))</f>
        <v/>
      </c>
      <c r="AB116" s="12">
        <f>IF(L116&lt;&gt;"",L116/(1-Z116),"")</f>
        <v/>
      </c>
      <c r="AC116" s="12">
        <f>IF(AB116="",AA116,MAX(AA116,AB116))</f>
        <v/>
      </c>
      <c r="AD116" s="10">
        <f>IF(AC116="","",AC116*G116)</f>
        <v/>
      </c>
      <c r="AE116" s="10">
        <f>IF(AD116="","",ROUNDUP(AD116,0)-0.01)</f>
        <v/>
      </c>
      <c r="AF116" s="9">
        <f>IF(P116&lt;&gt;"","Competitor-based",IF(L116&lt;&gt;"","Cost+margin","Needs review"))</f>
        <v/>
      </c>
    </row>
    <row r="117" ht="46" customHeight="1">
      <c r="A117" s="13" t="inlineStr">
        <is>
          <t>5ml-child-resistant-jar-with-black-lids</t>
        </is>
      </c>
      <c r="B117" s="9" t="inlineStr">
        <is>
          <t>5ml Glass Jar- Child Resistant with Black Lids</t>
        </is>
      </c>
      <c r="C117" s="9" t="inlineStr">
        <is>
          <t>The 5ml Glass Jar – Child Resistant with Black Lids is a lab-ready glass concentrate jar built for extractors, processors, and brands who need compliant, small-format packaging that actually feels premium in hand. The cl…</t>
        </is>
      </c>
      <c r="D117" s="9" t="inlineStr">
        <is>
          <t>Quantity: 72</t>
        </is>
      </c>
      <c r="E117" s="13" t="inlineStr">
        <is>
          <t>5MLCRJAR72</t>
        </is>
      </c>
      <c r="F117" s="13" t="inlineStr">
        <is>
          <t>Packaging</t>
        </is>
      </c>
      <c r="G117" s="11" t="n">
        <v>72</v>
      </c>
      <c r="H117" s="13" t="inlineStr">
        <is>
          <t>pcs</t>
        </is>
      </c>
      <c r="I117" s="10" t="n">
        <v>27.49</v>
      </c>
      <c r="J117" s="10" t="inlineStr"/>
      <c r="K117" s="12">
        <f>IFERROR(I117/G117,"")</f>
        <v/>
      </c>
      <c r="L117" s="12">
        <f>IFERROR(J117/G117,"")</f>
        <v/>
      </c>
      <c r="M117" s="14">
        <f>IFERROR((I117-J117)/I117,"")</f>
        <v/>
      </c>
      <c r="N117" s="10" t="n">
        <v>271.99</v>
      </c>
      <c r="O117" s="11" t="n">
        <v>320</v>
      </c>
      <c r="P117" s="12">
        <f>IFERROR(N117/O117,"")</f>
        <v/>
      </c>
      <c r="Q117" s="10" t="inlineStr"/>
      <c r="R117" s="11" t="inlineStr"/>
      <c r="S117" s="12">
        <f>IFERROR(Q117/R117,"")</f>
        <v/>
      </c>
      <c r="T117" s="13" t="inlineStr">
        <is>
          <t>Observed</t>
        </is>
      </c>
      <c r="U117" s="9" t="inlineStr">
        <is>
          <t>https://truearoma.com/products/5ml-thick-clear-glass-containers-with-black-child-resistant-lids</t>
        </is>
      </c>
      <c r="V117" s="9" t="inlineStr">
        <is>
          <t>5ml thick clear glass containers with black child resistant lids; 320 pack listed at $271.99.</t>
        </is>
      </c>
      <c r="W117" s="13">
        <f>IF(G117="","",IF(G117&lt;=Assumptions!$B$9,Assumptions!$C$9,IF(G117&lt;=Assumptions!$B$10,Assumptions!$C$10,IF(G117&lt;=Assumptions!$B$11,Assumptions!$C$11,Assumptions!$C$12))))</f>
        <v/>
      </c>
      <c r="X117" s="13">
        <f>IF(F117="Branded",Assumptions!$B$5,IF(OR(F117="Packaging",F117="Bags"),Assumptions!$B$4,1))</f>
        <v/>
      </c>
      <c r="Y117" s="14">
        <f>IFERROR(VLOOKUP(F117,Assumptions!$A$16:$C$20,2,FALSE),0.40)</f>
        <v/>
      </c>
      <c r="Z117" s="14">
        <f>IFERROR(VLOOKUP(F117,Assumptions!$A$16:$C$20,3,FALSE),0.30)</f>
        <v/>
      </c>
      <c r="AA117" s="12">
        <f>IF(P117&lt;&gt;"",P117*X117*W117,IF(L117&lt;&gt;"",L117/(1-Y117),K117))</f>
        <v/>
      </c>
      <c r="AB117" s="12">
        <f>IF(L117&lt;&gt;"",L117/(1-Z117),"")</f>
        <v/>
      </c>
      <c r="AC117" s="12">
        <f>IF(AB117="",AA117,MAX(AA117,AB117))</f>
        <v/>
      </c>
      <c r="AD117" s="10">
        <f>IF(AC117="","",AC117*G117)</f>
        <v/>
      </c>
      <c r="AE117" s="10">
        <f>IF(AD117="","",ROUNDUP(AD117,0)-0.01)</f>
        <v/>
      </c>
      <c r="AF117" s="9">
        <f>IF(P117&lt;&gt;"","Competitor-based",IF(L117&lt;&gt;"","Cost+margin","Needs review"))</f>
        <v/>
      </c>
    </row>
    <row r="118" ht="46" customHeight="1">
      <c r="A118" s="13" t="inlineStr">
        <is>
          <t>5ml-child-resistant-jar-with-black-lids</t>
        </is>
      </c>
      <c r="B118" s="9" t="inlineStr">
        <is>
          <t>5ml Glass Jar- Child Resistant with Black Lids</t>
        </is>
      </c>
      <c r="C118" s="9" t="inlineStr">
        <is>
          <t>The 5ml Glass Jar – Child Resistant with Black Lids is a lab-ready glass concentrate jar built for extractors, processors, and brands who need compliant, small-format packaging that actually feels premium in hand. The cl…</t>
        </is>
      </c>
      <c r="D118" s="9" t="inlineStr">
        <is>
          <t>Quantity: 144</t>
        </is>
      </c>
      <c r="E118" s="13" t="inlineStr">
        <is>
          <t>5MLCRJAR144</t>
        </is>
      </c>
      <c r="F118" s="13" t="inlineStr">
        <is>
          <t>Packaging</t>
        </is>
      </c>
      <c r="G118" s="11" t="n">
        <v>144</v>
      </c>
      <c r="H118" s="13" t="inlineStr">
        <is>
          <t>pcs</t>
        </is>
      </c>
      <c r="I118" s="10" t="n">
        <v>29.99</v>
      </c>
      <c r="J118" s="10" t="inlineStr"/>
      <c r="K118" s="12">
        <f>IFERROR(I118/G118,"")</f>
        <v/>
      </c>
      <c r="L118" s="12">
        <f>IFERROR(J118/G118,"")</f>
        <v/>
      </c>
      <c r="M118" s="14">
        <f>IFERROR((I118-J118)/I118,"")</f>
        <v/>
      </c>
      <c r="N118" s="10" t="n">
        <v>271.99</v>
      </c>
      <c r="O118" s="11" t="n">
        <v>320</v>
      </c>
      <c r="P118" s="12">
        <f>IFERROR(N118/O118,"")</f>
        <v/>
      </c>
      <c r="Q118" s="10" t="inlineStr"/>
      <c r="R118" s="11" t="inlineStr"/>
      <c r="S118" s="12">
        <f>IFERROR(Q118/R118,"")</f>
        <v/>
      </c>
      <c r="T118" s="13" t="inlineStr">
        <is>
          <t>Observed</t>
        </is>
      </c>
      <c r="U118" s="9" t="inlineStr">
        <is>
          <t>https://truearoma.com/products/5ml-thick-clear-glass-containers-with-black-child-resistant-lids</t>
        </is>
      </c>
      <c r="V118" s="9" t="inlineStr">
        <is>
          <t>5ml thick clear glass containers with black child resistant lids; 320 pack listed at $271.99.</t>
        </is>
      </c>
      <c r="W118" s="13">
        <f>IF(G118="","",IF(G118&lt;=Assumptions!$B$9,Assumptions!$C$9,IF(G118&lt;=Assumptions!$B$10,Assumptions!$C$10,IF(G118&lt;=Assumptions!$B$11,Assumptions!$C$11,Assumptions!$C$12))))</f>
        <v/>
      </c>
      <c r="X118" s="13">
        <f>IF(F118="Branded",Assumptions!$B$5,IF(OR(F118="Packaging",F118="Bags"),Assumptions!$B$4,1))</f>
        <v/>
      </c>
      <c r="Y118" s="14">
        <f>IFERROR(VLOOKUP(F118,Assumptions!$A$16:$C$20,2,FALSE),0.40)</f>
        <v/>
      </c>
      <c r="Z118" s="14">
        <f>IFERROR(VLOOKUP(F118,Assumptions!$A$16:$C$20,3,FALSE),0.30)</f>
        <v/>
      </c>
      <c r="AA118" s="12">
        <f>IF(P118&lt;&gt;"",P118*X118*W118,IF(L118&lt;&gt;"",L118/(1-Y118),K118))</f>
        <v/>
      </c>
      <c r="AB118" s="12">
        <f>IF(L118&lt;&gt;"",L118/(1-Z118),"")</f>
        <v/>
      </c>
      <c r="AC118" s="12">
        <f>IF(AB118="",AA118,MAX(AA118,AB118))</f>
        <v/>
      </c>
      <c r="AD118" s="10">
        <f>IF(AC118="","",AC118*G118)</f>
        <v/>
      </c>
      <c r="AE118" s="10">
        <f>IF(AD118="","",ROUNDUP(AD118,0)-0.01)</f>
        <v/>
      </c>
      <c r="AF118" s="9">
        <f>IF(P118&lt;&gt;"","Competitor-based",IF(L118&lt;&gt;"","Cost+margin","Needs review"))</f>
        <v/>
      </c>
    </row>
    <row r="119" ht="46" customHeight="1">
      <c r="A119" s="13" t="inlineStr">
        <is>
          <t>5ml-child-resistant-jar-with-black-lids</t>
        </is>
      </c>
      <c r="B119" s="9" t="inlineStr">
        <is>
          <t>5ml Glass Jar- Child Resistant with Black Lids</t>
        </is>
      </c>
      <c r="C119" s="9" t="inlineStr">
        <is>
          <t>The 5ml Glass Jar – Child Resistant with Black Lids is a lab-ready glass concentrate jar built for extractors, processors, and brands who need compliant, small-format packaging that actually feels premium in hand. The cl…</t>
        </is>
      </c>
      <c r="D119" s="9" t="inlineStr">
        <is>
          <t>Quantity: 504</t>
        </is>
      </c>
      <c r="E119" s="13" t="inlineStr">
        <is>
          <t>5MLCRJAR504</t>
        </is>
      </c>
      <c r="F119" s="13" t="inlineStr">
        <is>
          <t>Packaging</t>
        </is>
      </c>
      <c r="G119" s="11" t="n">
        <v>504</v>
      </c>
      <c r="H119" s="13" t="inlineStr">
        <is>
          <t>pcs</t>
        </is>
      </c>
      <c r="I119" s="10" t="n">
        <v>99.98999999999999</v>
      </c>
      <c r="J119" s="10" t="inlineStr"/>
      <c r="K119" s="12">
        <f>IFERROR(I119/G119,"")</f>
        <v/>
      </c>
      <c r="L119" s="12">
        <f>IFERROR(J119/G119,"")</f>
        <v/>
      </c>
      <c r="M119" s="14">
        <f>IFERROR((I119-J119)/I119,"")</f>
        <v/>
      </c>
      <c r="N119" s="10" t="n">
        <v>271.99</v>
      </c>
      <c r="O119" s="11" t="n">
        <v>320</v>
      </c>
      <c r="P119" s="12">
        <f>IFERROR(N119/O119,"")</f>
        <v/>
      </c>
      <c r="Q119" s="10" t="inlineStr"/>
      <c r="R119" s="11" t="inlineStr"/>
      <c r="S119" s="12">
        <f>IFERROR(Q119/R119,"")</f>
        <v/>
      </c>
      <c r="T119" s="13" t="inlineStr">
        <is>
          <t>Observed</t>
        </is>
      </c>
      <c r="U119" s="9" t="inlineStr">
        <is>
          <t>https://truearoma.com/products/5ml-thick-clear-glass-containers-with-black-child-resistant-lids</t>
        </is>
      </c>
      <c r="V119" s="9" t="inlineStr">
        <is>
          <t>5ml thick clear glass containers with black child resistant lids; 320 pack listed at $271.99.</t>
        </is>
      </c>
      <c r="W119" s="13">
        <f>IF(G119="","",IF(G119&lt;=Assumptions!$B$9,Assumptions!$C$9,IF(G119&lt;=Assumptions!$B$10,Assumptions!$C$10,IF(G119&lt;=Assumptions!$B$11,Assumptions!$C$11,Assumptions!$C$12))))</f>
        <v/>
      </c>
      <c r="X119" s="13">
        <f>IF(F119="Branded",Assumptions!$B$5,IF(OR(F119="Packaging",F119="Bags"),Assumptions!$B$4,1))</f>
        <v/>
      </c>
      <c r="Y119" s="14">
        <f>IFERROR(VLOOKUP(F119,Assumptions!$A$16:$C$20,2,FALSE),0.40)</f>
        <v/>
      </c>
      <c r="Z119" s="14">
        <f>IFERROR(VLOOKUP(F119,Assumptions!$A$16:$C$20,3,FALSE),0.30)</f>
        <v/>
      </c>
      <c r="AA119" s="12">
        <f>IF(P119&lt;&gt;"",P119*X119*W119,IF(L119&lt;&gt;"",L119/(1-Y119),K119))</f>
        <v/>
      </c>
      <c r="AB119" s="12">
        <f>IF(L119&lt;&gt;"",L119/(1-Z119),"")</f>
        <v/>
      </c>
      <c r="AC119" s="12">
        <f>IF(AB119="",AA119,MAX(AA119,AB119))</f>
        <v/>
      </c>
      <c r="AD119" s="10">
        <f>IF(AC119="","",AC119*G119)</f>
        <v/>
      </c>
      <c r="AE119" s="10">
        <f>IF(AD119="","",ROUNDUP(AD119,0)-0.01)</f>
        <v/>
      </c>
      <c r="AF119" s="9">
        <f>IF(P119&lt;&gt;"","Competitor-based",IF(L119&lt;&gt;"","Cost+margin","Needs review"))</f>
        <v/>
      </c>
    </row>
    <row r="120" ht="46" customHeight="1">
      <c r="A120" s="13" t="inlineStr">
        <is>
          <t>5ml-child-resistant-jar-with-black-lids</t>
        </is>
      </c>
      <c r="B120" s="9" t="inlineStr">
        <is>
          <t>5ml Glass Jar- Child Resistant with Black Lids</t>
        </is>
      </c>
      <c r="C120" s="9" t="inlineStr">
        <is>
          <t>The 5ml Glass Jar – Child Resistant with Black Lids is a lab-ready glass concentrate jar built for extractors, processors, and brands who need compliant, small-format packaging that actually feels premium in hand. The cl…</t>
        </is>
      </c>
      <c r="D120" s="9" t="inlineStr">
        <is>
          <t>Quantity: 4,032</t>
        </is>
      </c>
      <c r="E120" s="13" t="inlineStr">
        <is>
          <t>5MLCRJAR4032</t>
        </is>
      </c>
      <c r="F120" s="13" t="inlineStr">
        <is>
          <t>Packaging</t>
        </is>
      </c>
      <c r="G120" s="11" t="n">
        <v>4032</v>
      </c>
      <c r="H120" s="13" t="inlineStr">
        <is>
          <t>pcs</t>
        </is>
      </c>
      <c r="I120" s="10" t="n">
        <v>19.99</v>
      </c>
      <c r="J120" s="10" t="inlineStr"/>
      <c r="K120" s="12">
        <f>IFERROR(I120/G120,"")</f>
        <v/>
      </c>
      <c r="L120" s="12">
        <f>IFERROR(J120/G120,"")</f>
        <v/>
      </c>
      <c r="M120" s="14">
        <f>IFERROR((I120-J120)/I120,"")</f>
        <v/>
      </c>
      <c r="N120" s="10" t="n">
        <v>271.99</v>
      </c>
      <c r="O120" s="11" t="n">
        <v>320</v>
      </c>
      <c r="P120" s="12">
        <f>IFERROR(N120/O120,"")</f>
        <v/>
      </c>
      <c r="Q120" s="10" t="inlineStr"/>
      <c r="R120" s="11" t="inlineStr"/>
      <c r="S120" s="12">
        <f>IFERROR(Q120/R120,"")</f>
        <v/>
      </c>
      <c r="T120" s="13" t="inlineStr">
        <is>
          <t>Observed</t>
        </is>
      </c>
      <c r="U120" s="9" t="inlineStr">
        <is>
          <t>https://truearoma.com/products/5ml-thick-clear-glass-containers-with-black-child-resistant-lids</t>
        </is>
      </c>
      <c r="V120" s="9" t="inlineStr">
        <is>
          <t>5ml thick clear glass containers with black child resistant lids; 320 pack listed at $271.99.</t>
        </is>
      </c>
      <c r="W120" s="13">
        <f>IF(G120="","",IF(G120&lt;=Assumptions!$B$9,Assumptions!$C$9,IF(G120&lt;=Assumptions!$B$10,Assumptions!$C$10,IF(G120&lt;=Assumptions!$B$11,Assumptions!$C$11,Assumptions!$C$12))))</f>
        <v/>
      </c>
      <c r="X120" s="13">
        <f>IF(F120="Branded",Assumptions!$B$5,IF(OR(F120="Packaging",F120="Bags"),Assumptions!$B$4,1))</f>
        <v/>
      </c>
      <c r="Y120" s="14">
        <f>IFERROR(VLOOKUP(F120,Assumptions!$A$16:$C$20,2,FALSE),0.40)</f>
        <v/>
      </c>
      <c r="Z120" s="14">
        <f>IFERROR(VLOOKUP(F120,Assumptions!$A$16:$C$20,3,FALSE),0.30)</f>
        <v/>
      </c>
      <c r="AA120" s="12">
        <f>IF(P120&lt;&gt;"",P120*X120*W120,IF(L120&lt;&gt;"",L120/(1-Y120),K120))</f>
        <v/>
      </c>
      <c r="AB120" s="12">
        <f>IF(L120&lt;&gt;"",L120/(1-Z120),"")</f>
        <v/>
      </c>
      <c r="AC120" s="12">
        <f>IF(AB120="",AA120,MAX(AA120,AB120))</f>
        <v/>
      </c>
      <c r="AD120" s="10">
        <f>IF(AC120="","",AC120*G120)</f>
        <v/>
      </c>
      <c r="AE120" s="10">
        <f>IF(AD120="","",ROUNDUP(AD120,0)-0.01)</f>
        <v/>
      </c>
      <c r="AF120" s="9">
        <f>IF(P120&lt;&gt;"","Competitor-based",IF(L120&lt;&gt;"","Cost+margin","Needs review"))</f>
        <v/>
      </c>
    </row>
    <row r="121" ht="46" customHeight="1">
      <c r="A121" s="13" t="inlineStr">
        <is>
          <t>5ml-child-resistant-jar-with-black-lids</t>
        </is>
      </c>
      <c r="B121" s="9" t="inlineStr">
        <is>
          <t>5ml Glass Jar- Child Resistant with Black Lids</t>
        </is>
      </c>
      <c r="C121" s="9" t="inlineStr">
        <is>
          <t>The 5ml Glass Jar – Child Resistant with Black Lids is a lab-ready glass concentrate jar built for extractors, processors, and brands who need compliant, small-format packaging that actually feels premium in hand. The cl…</t>
        </is>
      </c>
      <c r="D121" s="9" t="inlineStr">
        <is>
          <t>Quantity: 1 (SAMPLE)</t>
        </is>
      </c>
      <c r="E121" s="13" t="inlineStr">
        <is>
          <t>5MLCRJAR</t>
        </is>
      </c>
      <c r="F121" s="13" t="inlineStr">
        <is>
          <t>Packaging</t>
        </is>
      </c>
      <c r="G121" s="11" t="n">
        <v>1</v>
      </c>
      <c r="H121" s="13" t="inlineStr">
        <is>
          <t>pcs</t>
        </is>
      </c>
      <c r="I121" s="10" t="n">
        <v>29.99</v>
      </c>
      <c r="J121" s="10" t="inlineStr"/>
      <c r="K121" s="12">
        <f>IFERROR(I121/G121,"")</f>
        <v/>
      </c>
      <c r="L121" s="12">
        <f>IFERROR(J121/G121,"")</f>
        <v/>
      </c>
      <c r="M121" s="14">
        <f>IFERROR((I121-J121)/I121,"")</f>
        <v/>
      </c>
      <c r="N121" s="10" t="n">
        <v>271.99</v>
      </c>
      <c r="O121" s="11" t="n">
        <v>320</v>
      </c>
      <c r="P121" s="12">
        <f>IFERROR(N121/O121,"")</f>
        <v/>
      </c>
      <c r="Q121" s="10" t="inlineStr"/>
      <c r="R121" s="11" t="inlineStr"/>
      <c r="S121" s="12">
        <f>IFERROR(Q121/R121,"")</f>
        <v/>
      </c>
      <c r="T121" s="13" t="inlineStr">
        <is>
          <t>Observed</t>
        </is>
      </c>
      <c r="U121" s="9" t="inlineStr">
        <is>
          <t>https://truearoma.com/products/5ml-thick-clear-glass-containers-with-black-child-resistant-lids</t>
        </is>
      </c>
      <c r="V121" s="9" t="inlineStr">
        <is>
          <t>5ml thick clear glass containers with black child resistant lids; 320 pack listed at $271.99.</t>
        </is>
      </c>
      <c r="W121" s="13">
        <f>IF(G121="","",IF(G121&lt;=Assumptions!$B$9,Assumptions!$C$9,IF(G121&lt;=Assumptions!$B$10,Assumptions!$C$10,IF(G121&lt;=Assumptions!$B$11,Assumptions!$C$11,Assumptions!$C$12))))</f>
        <v/>
      </c>
      <c r="X121" s="13">
        <f>IF(F121="Branded",Assumptions!$B$5,IF(OR(F121="Packaging",F121="Bags"),Assumptions!$B$4,1))</f>
        <v/>
      </c>
      <c r="Y121" s="14">
        <f>IFERROR(VLOOKUP(F121,Assumptions!$A$16:$C$20,2,FALSE),0.40)</f>
        <v/>
      </c>
      <c r="Z121" s="14">
        <f>IFERROR(VLOOKUP(F121,Assumptions!$A$16:$C$20,3,FALSE),0.30)</f>
        <v/>
      </c>
      <c r="AA121" s="12">
        <f>IF(P121&lt;&gt;"",P121*X121*W121,IF(L121&lt;&gt;"",L121/(1-Y121),K121))</f>
        <v/>
      </c>
      <c r="AB121" s="12">
        <f>IF(L121&lt;&gt;"",L121/(1-Z121),"")</f>
        <v/>
      </c>
      <c r="AC121" s="12">
        <f>IF(AB121="",AA121,MAX(AA121,AB121))</f>
        <v/>
      </c>
      <c r="AD121" s="10">
        <f>IF(AC121="","",AC121*G121)</f>
        <v/>
      </c>
      <c r="AE121" s="10">
        <f>IF(AD121="","",ROUNDUP(AD121,0)-0.01)</f>
        <v/>
      </c>
      <c r="AF121" s="9">
        <f>IF(P121&lt;&gt;"","Competitor-based",IF(L121&lt;&gt;"","Cost+margin","Needs review"))</f>
        <v/>
      </c>
    </row>
    <row r="122" ht="46" customHeight="1">
      <c r="A122" s="13" t="inlineStr">
        <is>
          <t>oil-slick-non-stick-precut-paper-4-5x-5</t>
        </is>
      </c>
      <c r="B122" s="9" t="inlineStr">
        <is>
          <t>Oil Slick Non-Stick PRECUT Paper 4.5"x 4.5"</t>
        </is>
      </c>
      <c r="C122" s="9" t="inlineStr">
        <is>
          <t>The Oil Slick Non-Stick PRECUT Paper 4.5" x 4.5" is a lab-grade nonstick sheet made for processors, hashmakers, and home pressers who are over ripping off crooked chunks of parchment. Thick 40 lb paper with a medical-gra…</t>
        </is>
      </c>
      <c r="D122" s="9" t="inlineStr">
        <is>
          <t>Quantity: 1,000 Sheets</t>
        </is>
      </c>
      <c r="E122" s="13" t="inlineStr">
        <is>
          <t>PRECUTPAPER-00</t>
        </is>
      </c>
      <c r="F122" s="13" t="inlineStr">
        <is>
          <t>Branded</t>
        </is>
      </c>
      <c r="G122" s="11" t="n">
        <v>1000</v>
      </c>
      <c r="H122" s="13" t="inlineStr">
        <is>
          <t>pcs</t>
        </is>
      </c>
      <c r="I122" s="10" t="n">
        <v>12.99</v>
      </c>
      <c r="J122" s="10" t="inlineStr"/>
      <c r="K122" s="12">
        <f>IFERROR(I122/G122,"")</f>
        <v/>
      </c>
      <c r="L122" s="12">
        <f>IFERROR(J122/G122,"")</f>
        <v/>
      </c>
      <c r="M122" s="14">
        <f>IFERROR((I122-J122)/I122,"")</f>
        <v/>
      </c>
      <c r="N122" s="10" t="inlineStr"/>
      <c r="O122" s="11" t="inlineStr"/>
      <c r="P122" s="12">
        <f>IFERROR(N122/O122,"")</f>
        <v/>
      </c>
      <c r="Q122" s="10" t="inlineStr"/>
      <c r="R122" s="11" t="inlineStr"/>
      <c r="S122" s="12">
        <f>IFERROR(Q122/R122,"")</f>
        <v/>
      </c>
      <c r="T122" s="13" t="inlineStr"/>
      <c r="U122" s="9" t="inlineStr"/>
      <c r="V122" s="9" t="inlineStr"/>
      <c r="W122" s="13">
        <f>IF(G122="","",IF(G122&lt;=Assumptions!$B$9,Assumptions!$C$9,IF(G122&lt;=Assumptions!$B$10,Assumptions!$C$10,IF(G122&lt;=Assumptions!$B$11,Assumptions!$C$11,Assumptions!$C$12))))</f>
        <v/>
      </c>
      <c r="X122" s="13">
        <f>IF(F122="Branded",Assumptions!$B$5,IF(OR(F122="Packaging",F122="Bags"),Assumptions!$B$4,1))</f>
        <v/>
      </c>
      <c r="Y122" s="14">
        <f>IFERROR(VLOOKUP(F122,Assumptions!$A$16:$C$20,2,FALSE),0.40)</f>
        <v/>
      </c>
      <c r="Z122" s="14">
        <f>IFERROR(VLOOKUP(F122,Assumptions!$A$16:$C$20,3,FALSE),0.30)</f>
        <v/>
      </c>
      <c r="AA122" s="12">
        <f>IF(P122&lt;&gt;"",P122*X122*W122,IF(L122&lt;&gt;"",L122/(1-Y122),K122))</f>
        <v/>
      </c>
      <c r="AB122" s="12">
        <f>IF(L122&lt;&gt;"",L122/(1-Z122),"")</f>
        <v/>
      </c>
      <c r="AC122" s="12">
        <f>IF(AB122="",AA122,MAX(AA122,AB122))</f>
        <v/>
      </c>
      <c r="AD122" s="10">
        <f>IF(AC122="","",AC122*G122)</f>
        <v/>
      </c>
      <c r="AE122" s="10">
        <f>IF(AD122="","",ROUNDUP(AD122,0)-0.01)</f>
        <v/>
      </c>
      <c r="AF122" s="9">
        <f>IF(P122&lt;&gt;"","Competitor-based",IF(L122&lt;&gt;"","Cost+margin","Needs review"))</f>
        <v/>
      </c>
    </row>
    <row r="123" ht="46" customHeight="1">
      <c r="A123" s="13" t="inlineStr">
        <is>
          <t>oil-slick-non-stick-precut-paper-4-5x-5</t>
        </is>
      </c>
      <c r="B123" s="9" t="inlineStr">
        <is>
          <t>Oil Slick Non-Stick PRECUT Paper 4.5"x 4.5"</t>
        </is>
      </c>
      <c r="C123" s="9" t="inlineStr">
        <is>
          <t>The Oil Slick Non-Stick PRECUT Paper 4.5" x 4.5" is a lab-grade nonstick sheet made for processors, hashmakers, and home pressers who are over ripping off crooked chunks of parchment. Thick 40 lb paper with a medical-gra…</t>
        </is>
      </c>
      <c r="D123" s="9" t="inlineStr">
        <is>
          <t>Quantity: 5,000 Sheets</t>
        </is>
      </c>
      <c r="E123" s="13" t="inlineStr">
        <is>
          <t>PRECUTPAPER-01</t>
        </is>
      </c>
      <c r="F123" s="13" t="inlineStr">
        <is>
          <t>Branded</t>
        </is>
      </c>
      <c r="G123" s="11" t="n">
        <v>5000</v>
      </c>
      <c r="H123" s="13" t="inlineStr">
        <is>
          <t>pcs</t>
        </is>
      </c>
      <c r="I123" s="10" t="n">
        <v>24.99</v>
      </c>
      <c r="J123" s="10" t="inlineStr"/>
      <c r="K123" s="12">
        <f>IFERROR(I123/G123,"")</f>
        <v/>
      </c>
      <c r="L123" s="12">
        <f>IFERROR(J123/G123,"")</f>
        <v/>
      </c>
      <c r="M123" s="14">
        <f>IFERROR((I123-J123)/I123,"")</f>
        <v/>
      </c>
      <c r="N123" s="10" t="inlineStr"/>
      <c r="O123" s="11" t="inlineStr"/>
      <c r="P123" s="12">
        <f>IFERROR(N123/O123,"")</f>
        <v/>
      </c>
      <c r="Q123" s="10" t="inlineStr"/>
      <c r="R123" s="11" t="inlineStr"/>
      <c r="S123" s="12">
        <f>IFERROR(Q123/R123,"")</f>
        <v/>
      </c>
      <c r="T123" s="13" t="inlineStr"/>
      <c r="U123" s="9" t="inlineStr"/>
      <c r="V123" s="9" t="inlineStr"/>
      <c r="W123" s="13">
        <f>IF(G123="","",IF(G123&lt;=Assumptions!$B$9,Assumptions!$C$9,IF(G123&lt;=Assumptions!$B$10,Assumptions!$C$10,IF(G123&lt;=Assumptions!$B$11,Assumptions!$C$11,Assumptions!$C$12))))</f>
        <v/>
      </c>
      <c r="X123" s="13">
        <f>IF(F123="Branded",Assumptions!$B$5,IF(OR(F123="Packaging",F123="Bags"),Assumptions!$B$4,1))</f>
        <v/>
      </c>
      <c r="Y123" s="14">
        <f>IFERROR(VLOOKUP(F123,Assumptions!$A$16:$C$20,2,FALSE),0.40)</f>
        <v/>
      </c>
      <c r="Z123" s="14">
        <f>IFERROR(VLOOKUP(F123,Assumptions!$A$16:$C$20,3,FALSE),0.30)</f>
        <v/>
      </c>
      <c r="AA123" s="12">
        <f>IF(P123&lt;&gt;"",P123*X123*W123,IF(L123&lt;&gt;"",L123/(1-Y123),K123))</f>
        <v/>
      </c>
      <c r="AB123" s="12">
        <f>IF(L123&lt;&gt;"",L123/(1-Z123),"")</f>
        <v/>
      </c>
      <c r="AC123" s="12">
        <f>IF(AB123="",AA123,MAX(AA123,AB123))</f>
        <v/>
      </c>
      <c r="AD123" s="10">
        <f>IF(AC123="","",AC123*G123)</f>
        <v/>
      </c>
      <c r="AE123" s="10">
        <f>IF(AD123="","",ROUNDUP(AD123,0)-0.01)</f>
        <v/>
      </c>
      <c r="AF123" s="9">
        <f>IF(P123&lt;&gt;"","Competitor-based",IF(L123&lt;&gt;"","Cost+margin","Needs review"))</f>
        <v/>
      </c>
    </row>
    <row r="124" ht="46" customHeight="1">
      <c r="A124" s="13" t="inlineStr">
        <is>
          <t>oil-slick-non-stick-precut-paper-4-5x-5</t>
        </is>
      </c>
      <c r="B124" s="9" t="inlineStr">
        <is>
          <t>Oil Slick Non-Stick PRECUT Paper 4.5"x 4.5"</t>
        </is>
      </c>
      <c r="C124" s="9" t="inlineStr">
        <is>
          <t>The Oil Slick Non-Stick PRECUT Paper 4.5" x 4.5" is a lab-grade nonstick sheet made for processors, hashmakers, and home pressers who are over ripping off crooked chunks of parchment. Thick 40 lb paper with a medical-gra…</t>
        </is>
      </c>
      <c r="D124" s="9" t="inlineStr">
        <is>
          <t>Quantity: 10,000 Sheets</t>
        </is>
      </c>
      <c r="E124" s="13" t="inlineStr">
        <is>
          <t>PRECUTPAPER-02</t>
        </is>
      </c>
      <c r="F124" s="13" t="inlineStr">
        <is>
          <t>Branded</t>
        </is>
      </c>
      <c r="G124" s="11" t="n">
        <v>10000</v>
      </c>
      <c r="H124" s="13" t="inlineStr">
        <is>
          <t>pcs</t>
        </is>
      </c>
      <c r="I124" s="10" t="n">
        <v>39.99</v>
      </c>
      <c r="J124" s="10" t="inlineStr"/>
      <c r="K124" s="12">
        <f>IFERROR(I124/G124,"")</f>
        <v/>
      </c>
      <c r="L124" s="12">
        <f>IFERROR(J124/G124,"")</f>
        <v/>
      </c>
      <c r="M124" s="14">
        <f>IFERROR((I124-J124)/I124,"")</f>
        <v/>
      </c>
      <c r="N124" s="10" t="inlineStr"/>
      <c r="O124" s="11" t="inlineStr"/>
      <c r="P124" s="12">
        <f>IFERROR(N124/O124,"")</f>
        <v/>
      </c>
      <c r="Q124" s="10" t="inlineStr"/>
      <c r="R124" s="11" t="inlineStr"/>
      <c r="S124" s="12">
        <f>IFERROR(Q124/R124,"")</f>
        <v/>
      </c>
      <c r="T124" s="13" t="inlineStr"/>
      <c r="U124" s="9" t="inlineStr"/>
      <c r="V124" s="9" t="inlineStr"/>
      <c r="W124" s="13">
        <f>IF(G124="","",IF(G124&lt;=Assumptions!$B$9,Assumptions!$C$9,IF(G124&lt;=Assumptions!$B$10,Assumptions!$C$10,IF(G124&lt;=Assumptions!$B$11,Assumptions!$C$11,Assumptions!$C$12))))</f>
        <v/>
      </c>
      <c r="X124" s="13">
        <f>IF(F124="Branded",Assumptions!$B$5,IF(OR(F124="Packaging",F124="Bags"),Assumptions!$B$4,1))</f>
        <v/>
      </c>
      <c r="Y124" s="14">
        <f>IFERROR(VLOOKUP(F124,Assumptions!$A$16:$C$20,2,FALSE),0.40)</f>
        <v/>
      </c>
      <c r="Z124" s="14">
        <f>IFERROR(VLOOKUP(F124,Assumptions!$A$16:$C$20,3,FALSE),0.30)</f>
        <v/>
      </c>
      <c r="AA124" s="12">
        <f>IF(P124&lt;&gt;"",P124*X124*W124,IF(L124&lt;&gt;"",L124/(1-Y124),K124))</f>
        <v/>
      </c>
      <c r="AB124" s="12">
        <f>IF(L124&lt;&gt;"",L124/(1-Z124),"")</f>
        <v/>
      </c>
      <c r="AC124" s="12">
        <f>IF(AB124="",AA124,MAX(AA124,AB124))</f>
        <v/>
      </c>
      <c r="AD124" s="10">
        <f>IF(AC124="","",AC124*G124)</f>
        <v/>
      </c>
      <c r="AE124" s="10">
        <f>IF(AD124="","",ROUNDUP(AD124,0)-0.01)</f>
        <v/>
      </c>
      <c r="AF124" s="9">
        <f>IF(P124&lt;&gt;"","Competitor-based",IF(L124&lt;&gt;"","Cost+margin","Needs review"))</f>
        <v/>
      </c>
    </row>
    <row r="125" ht="46" customHeight="1">
      <c r="A125" s="13" t="inlineStr">
        <is>
          <t>oil-slick-non-stick-precut-paper-4-5x-5</t>
        </is>
      </c>
      <c r="B125" s="9" t="inlineStr">
        <is>
          <t>Oil Slick Non-Stick PRECUT Paper 4.5"x 4.5"</t>
        </is>
      </c>
      <c r="C125" s="9" t="inlineStr">
        <is>
          <t>The Oil Slick Non-Stick PRECUT Paper 4.5" x 4.5" is a lab-grade nonstick sheet made for processors, hashmakers, and home pressers who are over ripping off crooked chunks of parchment. Thick 40 lb paper with a medical-gra…</t>
        </is>
      </c>
      <c r="D125" s="9" t="inlineStr">
        <is>
          <t>Quantity: 20,000 Sheet</t>
        </is>
      </c>
      <c r="E125" s="13" t="inlineStr">
        <is>
          <t>PRECUTPAPER-03</t>
        </is>
      </c>
      <c r="F125" s="13" t="inlineStr">
        <is>
          <t>Branded</t>
        </is>
      </c>
      <c r="G125" s="11" t="n">
        <v>20000</v>
      </c>
      <c r="H125" s="13" t="inlineStr">
        <is>
          <t>pcs</t>
        </is>
      </c>
      <c r="I125" s="10" t="n">
        <v>24.99</v>
      </c>
      <c r="J125" s="10" t="inlineStr"/>
      <c r="K125" s="12">
        <f>IFERROR(I125/G125,"")</f>
        <v/>
      </c>
      <c r="L125" s="12">
        <f>IFERROR(J125/G125,"")</f>
        <v/>
      </c>
      <c r="M125" s="14">
        <f>IFERROR((I125-J125)/I125,"")</f>
        <v/>
      </c>
      <c r="N125" s="10" t="inlineStr"/>
      <c r="O125" s="11" t="inlineStr"/>
      <c r="P125" s="12">
        <f>IFERROR(N125/O125,"")</f>
        <v/>
      </c>
      <c r="Q125" s="10" t="inlineStr"/>
      <c r="R125" s="11" t="inlineStr"/>
      <c r="S125" s="12">
        <f>IFERROR(Q125/R125,"")</f>
        <v/>
      </c>
      <c r="T125" s="13" t="inlineStr"/>
      <c r="U125" s="9" t="inlineStr"/>
      <c r="V125" s="9" t="inlineStr"/>
      <c r="W125" s="13">
        <f>IF(G125="","",IF(G125&lt;=Assumptions!$B$9,Assumptions!$C$9,IF(G125&lt;=Assumptions!$B$10,Assumptions!$C$10,IF(G125&lt;=Assumptions!$B$11,Assumptions!$C$11,Assumptions!$C$12))))</f>
        <v/>
      </c>
      <c r="X125" s="13">
        <f>IF(F125="Branded",Assumptions!$B$5,IF(OR(F125="Packaging",F125="Bags"),Assumptions!$B$4,1))</f>
        <v/>
      </c>
      <c r="Y125" s="14">
        <f>IFERROR(VLOOKUP(F125,Assumptions!$A$16:$C$20,2,FALSE),0.40)</f>
        <v/>
      </c>
      <c r="Z125" s="14">
        <f>IFERROR(VLOOKUP(F125,Assumptions!$A$16:$C$20,3,FALSE),0.30)</f>
        <v/>
      </c>
      <c r="AA125" s="12">
        <f>IF(P125&lt;&gt;"",P125*X125*W125,IF(L125&lt;&gt;"",L125/(1-Y125),K125))</f>
        <v/>
      </c>
      <c r="AB125" s="12">
        <f>IF(L125&lt;&gt;"",L125/(1-Z125),"")</f>
        <v/>
      </c>
      <c r="AC125" s="12">
        <f>IF(AB125="",AA125,MAX(AA125,AB125))</f>
        <v/>
      </c>
      <c r="AD125" s="10">
        <f>IF(AC125="","",AC125*G125)</f>
        <v/>
      </c>
      <c r="AE125" s="10">
        <f>IF(AD125="","",ROUNDUP(AD125,0)-0.01)</f>
        <v/>
      </c>
      <c r="AF125" s="9">
        <f>IF(P125&lt;&gt;"","Competitor-based",IF(L125&lt;&gt;"","Cost+margin","Needs review"))</f>
        <v/>
      </c>
    </row>
    <row r="126" ht="46" customHeight="1">
      <c r="A126" s="13" t="inlineStr">
        <is>
          <t>deep-dish-5ml-child-resistant-jar-with-black-lids</t>
        </is>
      </c>
      <c r="B126" s="9" t="inlineStr">
        <is>
          <t>Deep Dish 5ml Child Resistant Jar with Black Lids</t>
        </is>
      </c>
      <c r="C126" s="9" t="inlineStr">
        <is>
          <t>The Deep Dish 5ml Child Resistant Jar with Black Lids is a heavy-bottom glass concentrate jar built for licensed processors, extract brands, and dispensaries that need certified compliance without sacrificing shelf appea…</t>
        </is>
      </c>
      <c r="D126" s="9" t="inlineStr">
        <is>
          <t>Quantity: 1 (SAMPLE)</t>
        </is>
      </c>
      <c r="E126" s="13" t="inlineStr"/>
      <c r="F126" s="13" t="inlineStr">
        <is>
          <t>Packaging</t>
        </is>
      </c>
      <c r="G126" s="11" t="n">
        <v>1</v>
      </c>
      <c r="H126" s="13" t="inlineStr">
        <is>
          <t>pcs</t>
        </is>
      </c>
      <c r="I126" s="10" t="n">
        <v>24.99</v>
      </c>
      <c r="J126" s="10" t="inlineStr"/>
      <c r="K126" s="12">
        <f>IFERROR(I126/G126,"")</f>
        <v/>
      </c>
      <c r="L126" s="12">
        <f>IFERROR(J126/G126,"")</f>
        <v/>
      </c>
      <c r="M126" s="14">
        <f>IFERROR((I126-J126)/I126,"")</f>
        <v/>
      </c>
      <c r="N126" s="10" t="n">
        <v>271.99</v>
      </c>
      <c r="O126" s="11" t="n">
        <v>320</v>
      </c>
      <c r="P126" s="12">
        <f>IFERROR(N126/O126,"")</f>
        <v/>
      </c>
      <c r="Q126" s="10" t="inlineStr"/>
      <c r="R126" s="11" t="inlineStr"/>
      <c r="S126" s="12">
        <f>IFERROR(Q126/R126,"")</f>
        <v/>
      </c>
      <c r="T126" s="13" t="inlineStr">
        <is>
          <t>Observed</t>
        </is>
      </c>
      <c r="U126" s="9" t="inlineStr">
        <is>
          <t>https://truearoma.com/products/5ml-thick-clear-glass-containers-with-black-child-resistant-lids</t>
        </is>
      </c>
      <c r="V126" s="9" t="inlineStr">
        <is>
          <t>5ml thick clear glass containers with black child resistant lids; 320 pack listed at $271.99.</t>
        </is>
      </c>
      <c r="W126" s="13">
        <f>IF(G126="","",IF(G126&lt;=Assumptions!$B$9,Assumptions!$C$9,IF(G126&lt;=Assumptions!$B$10,Assumptions!$C$10,IF(G126&lt;=Assumptions!$B$11,Assumptions!$C$11,Assumptions!$C$12))))</f>
        <v/>
      </c>
      <c r="X126" s="13">
        <f>IF(F126="Branded",Assumptions!$B$5,IF(OR(F126="Packaging",F126="Bags"),Assumptions!$B$4,1))</f>
        <v/>
      </c>
      <c r="Y126" s="14">
        <f>IFERROR(VLOOKUP(F126,Assumptions!$A$16:$C$20,2,FALSE),0.40)</f>
        <v/>
      </c>
      <c r="Z126" s="14">
        <f>IFERROR(VLOOKUP(F126,Assumptions!$A$16:$C$20,3,FALSE),0.30)</f>
        <v/>
      </c>
      <c r="AA126" s="12">
        <f>IF(P126&lt;&gt;"",P126*X126*W126,IF(L126&lt;&gt;"",L126/(1-Y126),K126))</f>
        <v/>
      </c>
      <c r="AB126" s="12">
        <f>IF(L126&lt;&gt;"",L126/(1-Z126),"")</f>
        <v/>
      </c>
      <c r="AC126" s="12">
        <f>IF(AB126="",AA126,MAX(AA126,AB126))</f>
        <v/>
      </c>
      <c r="AD126" s="10">
        <f>IF(AC126="","",AC126*G126)</f>
        <v/>
      </c>
      <c r="AE126" s="10">
        <f>IF(AD126="","",ROUNDUP(AD126,0)-0.01)</f>
        <v/>
      </c>
      <c r="AF126" s="9">
        <f>IF(P126&lt;&gt;"","Competitor-based",IF(L126&lt;&gt;"","Cost+margin","Needs review"))</f>
        <v/>
      </c>
    </row>
    <row r="127" ht="46" customHeight="1">
      <c r="A127" s="13" t="inlineStr">
        <is>
          <t>deep-dish-5ml-child-resistant-jar-with-black-lids</t>
        </is>
      </c>
      <c r="B127" s="9" t="inlineStr">
        <is>
          <t>Deep Dish 5ml Child Resistant Jar with Black Lids</t>
        </is>
      </c>
      <c r="C127" s="9" t="inlineStr">
        <is>
          <t>The Deep Dish 5ml Child Resistant Jar with Black Lids is a heavy-bottom glass concentrate jar built for licensed processors, extract brands, and dispensaries that need certified compliance without sacrificing shelf appea…</t>
        </is>
      </c>
      <c r="D127" s="9" t="inlineStr">
        <is>
          <t>Quantity: 70</t>
        </is>
      </c>
      <c r="E127" s="13" t="inlineStr"/>
      <c r="F127" s="13" t="inlineStr">
        <is>
          <t>Packaging</t>
        </is>
      </c>
      <c r="G127" s="11" t="n">
        <v>70</v>
      </c>
      <c r="H127" s="13" t="inlineStr">
        <is>
          <t>pcs</t>
        </is>
      </c>
      <c r="I127" s="10" t="n">
        <v>29.99</v>
      </c>
      <c r="J127" s="10" t="inlineStr"/>
      <c r="K127" s="12">
        <f>IFERROR(I127/G127,"")</f>
        <v/>
      </c>
      <c r="L127" s="12">
        <f>IFERROR(J127/G127,"")</f>
        <v/>
      </c>
      <c r="M127" s="14">
        <f>IFERROR((I127-J127)/I127,"")</f>
        <v/>
      </c>
      <c r="N127" s="10" t="n">
        <v>271.99</v>
      </c>
      <c r="O127" s="11" t="n">
        <v>320</v>
      </c>
      <c r="P127" s="12">
        <f>IFERROR(N127/O127,"")</f>
        <v/>
      </c>
      <c r="Q127" s="10" t="inlineStr"/>
      <c r="R127" s="11" t="inlineStr"/>
      <c r="S127" s="12">
        <f>IFERROR(Q127/R127,"")</f>
        <v/>
      </c>
      <c r="T127" s="13" t="inlineStr">
        <is>
          <t>Observed</t>
        </is>
      </c>
      <c r="U127" s="9" t="inlineStr">
        <is>
          <t>https://truearoma.com/products/5ml-thick-clear-glass-containers-with-black-child-resistant-lids</t>
        </is>
      </c>
      <c r="V127" s="9" t="inlineStr">
        <is>
          <t>5ml thick clear glass containers with black child resistant lids; 320 pack listed at $271.99.</t>
        </is>
      </c>
      <c r="W127" s="13">
        <f>IF(G127="","",IF(G127&lt;=Assumptions!$B$9,Assumptions!$C$9,IF(G127&lt;=Assumptions!$B$10,Assumptions!$C$10,IF(G127&lt;=Assumptions!$B$11,Assumptions!$C$11,Assumptions!$C$12))))</f>
        <v/>
      </c>
      <c r="X127" s="13">
        <f>IF(F127="Branded",Assumptions!$B$5,IF(OR(F127="Packaging",F127="Bags"),Assumptions!$B$4,1))</f>
        <v/>
      </c>
      <c r="Y127" s="14">
        <f>IFERROR(VLOOKUP(F127,Assumptions!$A$16:$C$20,2,FALSE),0.40)</f>
        <v/>
      </c>
      <c r="Z127" s="14">
        <f>IFERROR(VLOOKUP(F127,Assumptions!$A$16:$C$20,3,FALSE),0.30)</f>
        <v/>
      </c>
      <c r="AA127" s="12">
        <f>IF(P127&lt;&gt;"",P127*X127*W127,IF(L127&lt;&gt;"",L127/(1-Y127),K127))</f>
        <v/>
      </c>
      <c r="AB127" s="12">
        <f>IF(L127&lt;&gt;"",L127/(1-Z127),"")</f>
        <v/>
      </c>
      <c r="AC127" s="12">
        <f>IF(AB127="",AA127,MAX(AA127,AB127))</f>
        <v/>
      </c>
      <c r="AD127" s="10">
        <f>IF(AC127="","",AC127*G127)</f>
        <v/>
      </c>
      <c r="AE127" s="10">
        <f>IF(AD127="","",ROUNDUP(AD127,0)-0.01)</f>
        <v/>
      </c>
      <c r="AF127" s="9">
        <f>IF(P127&lt;&gt;"","Competitor-based",IF(L127&lt;&gt;"","Cost+margin","Needs review"))</f>
        <v/>
      </c>
    </row>
    <row r="128" ht="46" customHeight="1">
      <c r="A128" s="13" t="inlineStr">
        <is>
          <t>deep-dish-5ml-child-resistant-jar-with-black-lids</t>
        </is>
      </c>
      <c r="B128" s="9" t="inlineStr">
        <is>
          <t>Deep Dish 5ml Child Resistant Jar with Black Lids</t>
        </is>
      </c>
      <c r="C128" s="9" t="inlineStr">
        <is>
          <t>The Deep Dish 5ml Child Resistant Jar with Black Lids is a heavy-bottom glass concentrate jar built for licensed processors, extract brands, and dispensaries that need certified compliance without sacrificing shelf appea…</t>
        </is>
      </c>
      <c r="D128" s="9" t="inlineStr">
        <is>
          <t>Quantity: 140</t>
        </is>
      </c>
      <c r="E128" s="13" t="inlineStr"/>
      <c r="F128" s="13" t="inlineStr">
        <is>
          <t>Packaging</t>
        </is>
      </c>
      <c r="G128" s="11" t="n">
        <v>140</v>
      </c>
      <c r="H128" s="13" t="inlineStr">
        <is>
          <t>pcs</t>
        </is>
      </c>
      <c r="I128" s="10" t="n">
        <v>34.99</v>
      </c>
      <c r="J128" s="10" t="inlineStr"/>
      <c r="K128" s="12">
        <f>IFERROR(I128/G128,"")</f>
        <v/>
      </c>
      <c r="L128" s="12">
        <f>IFERROR(J128/G128,"")</f>
        <v/>
      </c>
      <c r="M128" s="14">
        <f>IFERROR((I128-J128)/I128,"")</f>
        <v/>
      </c>
      <c r="N128" s="10" t="n">
        <v>271.99</v>
      </c>
      <c r="O128" s="11" t="n">
        <v>320</v>
      </c>
      <c r="P128" s="12">
        <f>IFERROR(N128/O128,"")</f>
        <v/>
      </c>
      <c r="Q128" s="10" t="inlineStr"/>
      <c r="R128" s="11" t="inlineStr"/>
      <c r="S128" s="12">
        <f>IFERROR(Q128/R128,"")</f>
        <v/>
      </c>
      <c r="T128" s="13" t="inlineStr">
        <is>
          <t>Observed</t>
        </is>
      </c>
      <c r="U128" s="9" t="inlineStr">
        <is>
          <t>https://truearoma.com/products/5ml-thick-clear-glass-containers-with-black-child-resistant-lids</t>
        </is>
      </c>
      <c r="V128" s="9" t="inlineStr">
        <is>
          <t>5ml thick clear glass containers with black child resistant lids; 320 pack listed at $271.99.</t>
        </is>
      </c>
      <c r="W128" s="13">
        <f>IF(G128="","",IF(G128&lt;=Assumptions!$B$9,Assumptions!$C$9,IF(G128&lt;=Assumptions!$B$10,Assumptions!$C$10,IF(G128&lt;=Assumptions!$B$11,Assumptions!$C$11,Assumptions!$C$12))))</f>
        <v/>
      </c>
      <c r="X128" s="13">
        <f>IF(F128="Branded",Assumptions!$B$5,IF(OR(F128="Packaging",F128="Bags"),Assumptions!$B$4,1))</f>
        <v/>
      </c>
      <c r="Y128" s="14">
        <f>IFERROR(VLOOKUP(F128,Assumptions!$A$16:$C$20,2,FALSE),0.40)</f>
        <v/>
      </c>
      <c r="Z128" s="14">
        <f>IFERROR(VLOOKUP(F128,Assumptions!$A$16:$C$20,3,FALSE),0.30)</f>
        <v/>
      </c>
      <c r="AA128" s="12">
        <f>IF(P128&lt;&gt;"",P128*X128*W128,IF(L128&lt;&gt;"",L128/(1-Y128),K128))</f>
        <v/>
      </c>
      <c r="AB128" s="12">
        <f>IF(L128&lt;&gt;"",L128/(1-Z128),"")</f>
        <v/>
      </c>
      <c r="AC128" s="12">
        <f>IF(AB128="",AA128,MAX(AA128,AB128))</f>
        <v/>
      </c>
      <c r="AD128" s="10">
        <f>IF(AC128="","",AC128*G128)</f>
        <v/>
      </c>
      <c r="AE128" s="10">
        <f>IF(AD128="","",ROUNDUP(AD128,0)-0.01)</f>
        <v/>
      </c>
      <c r="AF128" s="9">
        <f>IF(P128&lt;&gt;"","Competitor-based",IF(L128&lt;&gt;"","Cost+margin","Needs review"))</f>
        <v/>
      </c>
    </row>
    <row r="129" ht="46" customHeight="1">
      <c r="A129" s="13" t="inlineStr">
        <is>
          <t>deep-dish-5ml-child-resistant-jar-with-black-lids</t>
        </is>
      </c>
      <c r="B129" s="9" t="inlineStr">
        <is>
          <t>Deep Dish 5ml Child Resistant Jar with Black Lids</t>
        </is>
      </c>
      <c r="C129" s="9" t="inlineStr">
        <is>
          <t>The Deep Dish 5ml Child Resistant Jar with Black Lids is a heavy-bottom glass concentrate jar built for licensed processors, extract brands, and dispensaries that need certified compliance without sacrificing shelf appea…</t>
        </is>
      </c>
      <c r="D129" s="9" t="inlineStr">
        <is>
          <t>Quantity: 560</t>
        </is>
      </c>
      <c r="E129" s="13" t="inlineStr"/>
      <c r="F129" s="13" t="inlineStr">
        <is>
          <t>Packaging</t>
        </is>
      </c>
      <c r="G129" s="11" t="n">
        <v>560</v>
      </c>
      <c r="H129" s="13" t="inlineStr">
        <is>
          <t>pcs</t>
        </is>
      </c>
      <c r="I129" s="10" t="n">
        <v>29.99</v>
      </c>
      <c r="J129" s="10" t="inlineStr"/>
      <c r="K129" s="12">
        <f>IFERROR(I129/G129,"")</f>
        <v/>
      </c>
      <c r="L129" s="12">
        <f>IFERROR(J129/G129,"")</f>
        <v/>
      </c>
      <c r="M129" s="14">
        <f>IFERROR((I129-J129)/I129,"")</f>
        <v/>
      </c>
      <c r="N129" s="10" t="n">
        <v>271.99</v>
      </c>
      <c r="O129" s="11" t="n">
        <v>320</v>
      </c>
      <c r="P129" s="12">
        <f>IFERROR(N129/O129,"")</f>
        <v/>
      </c>
      <c r="Q129" s="10" t="inlineStr"/>
      <c r="R129" s="11" t="inlineStr"/>
      <c r="S129" s="12">
        <f>IFERROR(Q129/R129,"")</f>
        <v/>
      </c>
      <c r="T129" s="13" t="inlineStr">
        <is>
          <t>Observed</t>
        </is>
      </c>
      <c r="U129" s="9" t="inlineStr">
        <is>
          <t>https://truearoma.com/products/5ml-thick-clear-glass-containers-with-black-child-resistant-lids</t>
        </is>
      </c>
      <c r="V129" s="9" t="inlineStr">
        <is>
          <t>5ml thick clear glass containers with black child resistant lids; 320 pack listed at $271.99.</t>
        </is>
      </c>
      <c r="W129" s="13">
        <f>IF(G129="","",IF(G129&lt;=Assumptions!$B$9,Assumptions!$C$9,IF(G129&lt;=Assumptions!$B$10,Assumptions!$C$10,IF(G129&lt;=Assumptions!$B$11,Assumptions!$C$11,Assumptions!$C$12))))</f>
        <v/>
      </c>
      <c r="X129" s="13">
        <f>IF(F129="Branded",Assumptions!$B$5,IF(OR(F129="Packaging",F129="Bags"),Assumptions!$B$4,1))</f>
        <v/>
      </c>
      <c r="Y129" s="14">
        <f>IFERROR(VLOOKUP(F129,Assumptions!$A$16:$C$20,2,FALSE),0.40)</f>
        <v/>
      </c>
      <c r="Z129" s="14">
        <f>IFERROR(VLOOKUP(F129,Assumptions!$A$16:$C$20,3,FALSE),0.30)</f>
        <v/>
      </c>
      <c r="AA129" s="12">
        <f>IF(P129&lt;&gt;"",P129*X129*W129,IF(L129&lt;&gt;"",L129/(1-Y129),K129))</f>
        <v/>
      </c>
      <c r="AB129" s="12">
        <f>IF(L129&lt;&gt;"",L129/(1-Z129),"")</f>
        <v/>
      </c>
      <c r="AC129" s="12">
        <f>IF(AB129="",AA129,MAX(AA129,AB129))</f>
        <v/>
      </c>
      <c r="AD129" s="10">
        <f>IF(AC129="","",AC129*G129)</f>
        <v/>
      </c>
      <c r="AE129" s="10">
        <f>IF(AD129="","",ROUNDUP(AD129,0)-0.01)</f>
        <v/>
      </c>
      <c r="AF129" s="9">
        <f>IF(P129&lt;&gt;"","Competitor-based",IF(L129&lt;&gt;"","Cost+margin","Needs review"))</f>
        <v/>
      </c>
    </row>
    <row r="130" ht="46" customHeight="1">
      <c r="A130" s="13" t="inlineStr">
        <is>
          <t>deep-dish-5ml-child-resistant-jar-with-black-lids</t>
        </is>
      </c>
      <c r="B130" s="9" t="inlineStr">
        <is>
          <t>Deep Dish 5ml Child Resistant Jar with Black Lids</t>
        </is>
      </c>
      <c r="C130" s="9" t="inlineStr">
        <is>
          <t>The Deep Dish 5ml Child Resistant Jar with Black Lids is a heavy-bottom glass concentrate jar built for licensed processors, extract brands, and dispensaries that need certified compliance without sacrificing shelf appea…</t>
        </is>
      </c>
      <c r="D130" s="9" t="inlineStr">
        <is>
          <t>Quantity: 1120</t>
        </is>
      </c>
      <c r="E130" s="13" t="inlineStr"/>
      <c r="F130" s="13" t="inlineStr">
        <is>
          <t>Packaging</t>
        </is>
      </c>
      <c r="G130" s="11" t="n">
        <v>1120</v>
      </c>
      <c r="H130" s="13" t="inlineStr">
        <is>
          <t>pcs</t>
        </is>
      </c>
      <c r="I130" s="10" t="n">
        <v>24.99</v>
      </c>
      <c r="J130" s="10" t="inlineStr"/>
      <c r="K130" s="12">
        <f>IFERROR(I130/G130,"")</f>
        <v/>
      </c>
      <c r="L130" s="12">
        <f>IFERROR(J130/G130,"")</f>
        <v/>
      </c>
      <c r="M130" s="14">
        <f>IFERROR((I130-J130)/I130,"")</f>
        <v/>
      </c>
      <c r="N130" s="10" t="n">
        <v>271.99</v>
      </c>
      <c r="O130" s="11" t="n">
        <v>320</v>
      </c>
      <c r="P130" s="12">
        <f>IFERROR(N130/O130,"")</f>
        <v/>
      </c>
      <c r="Q130" s="10" t="inlineStr"/>
      <c r="R130" s="11" t="inlineStr"/>
      <c r="S130" s="12">
        <f>IFERROR(Q130/R130,"")</f>
        <v/>
      </c>
      <c r="T130" s="13" t="inlineStr">
        <is>
          <t>Observed</t>
        </is>
      </c>
      <c r="U130" s="9" t="inlineStr">
        <is>
          <t>https://truearoma.com/products/5ml-thick-clear-glass-containers-with-black-child-resistant-lids</t>
        </is>
      </c>
      <c r="V130" s="9" t="inlineStr">
        <is>
          <t>5ml thick clear glass containers with black child resistant lids; 320 pack listed at $271.99.</t>
        </is>
      </c>
      <c r="W130" s="13">
        <f>IF(G130="","",IF(G130&lt;=Assumptions!$B$9,Assumptions!$C$9,IF(G130&lt;=Assumptions!$B$10,Assumptions!$C$10,IF(G130&lt;=Assumptions!$B$11,Assumptions!$C$11,Assumptions!$C$12))))</f>
        <v/>
      </c>
      <c r="X130" s="13">
        <f>IF(F130="Branded",Assumptions!$B$5,IF(OR(F130="Packaging",F130="Bags"),Assumptions!$B$4,1))</f>
        <v/>
      </c>
      <c r="Y130" s="14">
        <f>IFERROR(VLOOKUP(F130,Assumptions!$A$16:$C$20,2,FALSE),0.40)</f>
        <v/>
      </c>
      <c r="Z130" s="14">
        <f>IFERROR(VLOOKUP(F130,Assumptions!$A$16:$C$20,3,FALSE),0.30)</f>
        <v/>
      </c>
      <c r="AA130" s="12">
        <f>IF(P130&lt;&gt;"",P130*X130*W130,IF(L130&lt;&gt;"",L130/(1-Y130),K130))</f>
        <v/>
      </c>
      <c r="AB130" s="12">
        <f>IF(L130&lt;&gt;"",L130/(1-Z130),"")</f>
        <v/>
      </c>
      <c r="AC130" s="12">
        <f>IF(AB130="",AA130,MAX(AA130,AB130))</f>
        <v/>
      </c>
      <c r="AD130" s="10">
        <f>IF(AC130="","",AC130*G130)</f>
        <v/>
      </c>
      <c r="AE130" s="10">
        <f>IF(AD130="","",ROUNDUP(AD130,0)-0.01)</f>
        <v/>
      </c>
      <c r="AF130" s="9">
        <f>IF(P130&lt;&gt;"","Competitor-based",IF(L130&lt;&gt;"","Cost+margin","Needs review"))</f>
        <v/>
      </c>
    </row>
    <row r="131" ht="46" customHeight="1">
      <c r="A131" s="13" t="inlineStr">
        <is>
          <t>deep-dish-5ml-child-resistant-jar-with-black-lids</t>
        </is>
      </c>
      <c r="B131" s="9" t="inlineStr">
        <is>
          <t>Deep Dish 5ml Child Resistant Jar with Black Lids</t>
        </is>
      </c>
      <c r="C131" s="9" t="inlineStr">
        <is>
          <t>The Deep Dish 5ml Child Resistant Jar with Black Lids is a heavy-bottom glass concentrate jar built for licensed processors, extract brands, and dispensaries that need certified compliance without sacrificing shelf appea…</t>
        </is>
      </c>
      <c r="D131" s="9" t="inlineStr">
        <is>
          <t>Quantity: 2240</t>
        </is>
      </c>
      <c r="E131" s="13" t="inlineStr"/>
      <c r="F131" s="13" t="inlineStr">
        <is>
          <t>Packaging</t>
        </is>
      </c>
      <c r="G131" s="11" t="n">
        <v>2240</v>
      </c>
      <c r="H131" s="13" t="inlineStr">
        <is>
          <t>pcs</t>
        </is>
      </c>
      <c r="I131" s="10" t="n">
        <v>29.99</v>
      </c>
      <c r="J131" s="10" t="inlineStr"/>
      <c r="K131" s="12">
        <f>IFERROR(I131/G131,"")</f>
        <v/>
      </c>
      <c r="L131" s="12">
        <f>IFERROR(J131/G131,"")</f>
        <v/>
      </c>
      <c r="M131" s="14">
        <f>IFERROR((I131-J131)/I131,"")</f>
        <v/>
      </c>
      <c r="N131" s="10" t="n">
        <v>271.99</v>
      </c>
      <c r="O131" s="11" t="n">
        <v>320</v>
      </c>
      <c r="P131" s="12">
        <f>IFERROR(N131/O131,"")</f>
        <v/>
      </c>
      <c r="Q131" s="10" t="inlineStr"/>
      <c r="R131" s="11" t="inlineStr"/>
      <c r="S131" s="12">
        <f>IFERROR(Q131/R131,"")</f>
        <v/>
      </c>
      <c r="T131" s="13" t="inlineStr">
        <is>
          <t>Observed</t>
        </is>
      </c>
      <c r="U131" s="9" t="inlineStr">
        <is>
          <t>https://truearoma.com/products/5ml-thick-clear-glass-containers-with-black-child-resistant-lids</t>
        </is>
      </c>
      <c r="V131" s="9" t="inlineStr">
        <is>
          <t>5ml thick clear glass containers with black child resistant lids; 320 pack listed at $271.99.</t>
        </is>
      </c>
      <c r="W131" s="13">
        <f>IF(G131="","",IF(G131&lt;=Assumptions!$B$9,Assumptions!$C$9,IF(G131&lt;=Assumptions!$B$10,Assumptions!$C$10,IF(G131&lt;=Assumptions!$B$11,Assumptions!$C$11,Assumptions!$C$12))))</f>
        <v/>
      </c>
      <c r="X131" s="13">
        <f>IF(F131="Branded",Assumptions!$B$5,IF(OR(F131="Packaging",F131="Bags"),Assumptions!$B$4,1))</f>
        <v/>
      </c>
      <c r="Y131" s="14">
        <f>IFERROR(VLOOKUP(F131,Assumptions!$A$16:$C$20,2,FALSE),0.40)</f>
        <v/>
      </c>
      <c r="Z131" s="14">
        <f>IFERROR(VLOOKUP(F131,Assumptions!$A$16:$C$20,3,FALSE),0.30)</f>
        <v/>
      </c>
      <c r="AA131" s="12">
        <f>IF(P131&lt;&gt;"",P131*X131*W131,IF(L131&lt;&gt;"",L131/(1-Y131),K131))</f>
        <v/>
      </c>
      <c r="AB131" s="12">
        <f>IF(L131&lt;&gt;"",L131/(1-Z131),"")</f>
        <v/>
      </c>
      <c r="AC131" s="12">
        <f>IF(AB131="",AA131,MAX(AA131,AB131))</f>
        <v/>
      </c>
      <c r="AD131" s="10">
        <f>IF(AC131="","",AC131*G131)</f>
        <v/>
      </c>
      <c r="AE131" s="10">
        <f>IF(AD131="","",ROUNDUP(AD131,0)-0.01)</f>
        <v/>
      </c>
      <c r="AF131" s="9">
        <f>IF(P131&lt;&gt;"","Competitor-based",IF(L131&lt;&gt;"","Cost+margin","Needs review"))</f>
        <v/>
      </c>
    </row>
    <row r="132" ht="46" customHeight="1">
      <c r="A132" s="13" t="inlineStr">
        <is>
          <t>deep-dish-5ml-child-resistant-jar-with-black-lids</t>
        </is>
      </c>
      <c r="B132" s="9" t="inlineStr">
        <is>
          <t>Deep Dish 5ml Child Resistant Jar with Black Lids</t>
        </is>
      </c>
      <c r="C132" s="9" t="inlineStr">
        <is>
          <t>The Deep Dish 5ml Child Resistant Jar with Black Lids is a heavy-bottom glass concentrate jar built for licensed processors, extract brands, and dispensaries that need certified compliance without sacrificing shelf appea…</t>
        </is>
      </c>
      <c r="D132" s="9" t="inlineStr">
        <is>
          <t>Quantity: 5600</t>
        </is>
      </c>
      <c r="E132" s="13" t="inlineStr"/>
      <c r="F132" s="13" t="inlineStr">
        <is>
          <t>Packaging</t>
        </is>
      </c>
      <c r="G132" s="11" t="n">
        <v>5600</v>
      </c>
      <c r="H132" s="13" t="inlineStr">
        <is>
          <t>pcs</t>
        </is>
      </c>
      <c r="I132" s="10" t="n">
        <v>34.99</v>
      </c>
      <c r="J132" s="10" t="inlineStr"/>
      <c r="K132" s="12">
        <f>IFERROR(I132/G132,"")</f>
        <v/>
      </c>
      <c r="L132" s="12">
        <f>IFERROR(J132/G132,"")</f>
        <v/>
      </c>
      <c r="M132" s="14">
        <f>IFERROR((I132-J132)/I132,"")</f>
        <v/>
      </c>
      <c r="N132" s="10" t="n">
        <v>271.99</v>
      </c>
      <c r="O132" s="11" t="n">
        <v>320</v>
      </c>
      <c r="P132" s="12">
        <f>IFERROR(N132/O132,"")</f>
        <v/>
      </c>
      <c r="Q132" s="10" t="inlineStr"/>
      <c r="R132" s="11" t="inlineStr"/>
      <c r="S132" s="12">
        <f>IFERROR(Q132/R132,"")</f>
        <v/>
      </c>
      <c r="T132" s="13" t="inlineStr">
        <is>
          <t>Observed</t>
        </is>
      </c>
      <c r="U132" s="9" t="inlineStr">
        <is>
          <t>https://truearoma.com/products/5ml-thick-clear-glass-containers-with-black-child-resistant-lids</t>
        </is>
      </c>
      <c r="V132" s="9" t="inlineStr">
        <is>
          <t>5ml thick clear glass containers with black child resistant lids; 320 pack listed at $271.99.</t>
        </is>
      </c>
      <c r="W132" s="13">
        <f>IF(G132="","",IF(G132&lt;=Assumptions!$B$9,Assumptions!$C$9,IF(G132&lt;=Assumptions!$B$10,Assumptions!$C$10,IF(G132&lt;=Assumptions!$B$11,Assumptions!$C$11,Assumptions!$C$12))))</f>
        <v/>
      </c>
      <c r="X132" s="13">
        <f>IF(F132="Branded",Assumptions!$B$5,IF(OR(F132="Packaging",F132="Bags"),Assumptions!$B$4,1))</f>
        <v/>
      </c>
      <c r="Y132" s="14">
        <f>IFERROR(VLOOKUP(F132,Assumptions!$A$16:$C$20,2,FALSE),0.40)</f>
        <v/>
      </c>
      <c r="Z132" s="14">
        <f>IFERROR(VLOOKUP(F132,Assumptions!$A$16:$C$20,3,FALSE),0.30)</f>
        <v/>
      </c>
      <c r="AA132" s="12">
        <f>IF(P132&lt;&gt;"",P132*X132*W132,IF(L132&lt;&gt;"",L132/(1-Y132),K132))</f>
        <v/>
      </c>
      <c r="AB132" s="12">
        <f>IF(L132&lt;&gt;"",L132/(1-Z132),"")</f>
        <v/>
      </c>
      <c r="AC132" s="12">
        <f>IF(AB132="",AA132,MAX(AA132,AB132))</f>
        <v/>
      </c>
      <c r="AD132" s="10">
        <f>IF(AC132="","",AC132*G132)</f>
        <v/>
      </c>
      <c r="AE132" s="10">
        <f>IF(AD132="","",ROUNDUP(AD132,0)-0.01)</f>
        <v/>
      </c>
      <c r="AF132" s="9">
        <f>IF(P132&lt;&gt;"","Competitor-based",IF(L132&lt;&gt;"","Cost+margin","Needs review"))</f>
        <v/>
      </c>
    </row>
    <row r="133" ht="46" customHeight="1">
      <c r="A133" s="13" t="inlineStr">
        <is>
          <t>5ml-screw-top-jar-with-black-lids</t>
        </is>
      </c>
      <c r="B133" s="9" t="inlineStr">
        <is>
          <t>5ml Screw Top Jar with Black Lids</t>
        </is>
      </c>
      <c r="C133" s="9" t="inlineStr">
        <is>
          <t>The 5ml Screw Top Jar with Black Lids is a compact glass concentrate jar built for extractors, brand owners, and serious dabbers who need clean, consistent storage for small runs and retail-ready grams. Its true 5ml capa…</t>
        </is>
      </c>
      <c r="D133" s="9" t="inlineStr">
        <is>
          <t>Quantity: 100</t>
        </is>
      </c>
      <c r="E133" s="13" t="inlineStr">
        <is>
          <t>5MLST-100</t>
        </is>
      </c>
      <c r="F133" s="13" t="inlineStr">
        <is>
          <t>Packaging</t>
        </is>
      </c>
      <c r="G133" s="11" t="n">
        <v>100</v>
      </c>
      <c r="H133" s="13" t="inlineStr">
        <is>
          <t>pcs</t>
        </is>
      </c>
      <c r="I133" s="10" t="n">
        <v>19.99</v>
      </c>
      <c r="J133" s="10" t="inlineStr"/>
      <c r="K133" s="12">
        <f>IFERROR(I133/G133,"")</f>
        <v/>
      </c>
      <c r="L133" s="12">
        <f>IFERROR(J133/G133,"")</f>
        <v/>
      </c>
      <c r="M133" s="14">
        <f>IFERROR((I133-J133)/I133,"")</f>
        <v/>
      </c>
      <c r="N133" s="10" t="n">
        <v>271.99</v>
      </c>
      <c r="O133" s="11" t="n">
        <v>320</v>
      </c>
      <c r="P133" s="12">
        <f>IFERROR(N133/O133,"")</f>
        <v/>
      </c>
      <c r="Q133" s="10" t="inlineStr"/>
      <c r="R133" s="11" t="inlineStr"/>
      <c r="S133" s="12">
        <f>IFERROR(Q133/R133,"")</f>
        <v/>
      </c>
      <c r="T133" s="13" t="inlineStr">
        <is>
          <t>Observed</t>
        </is>
      </c>
      <c r="U133" s="9" t="inlineStr">
        <is>
          <t>https://truearoma.com/products/5ml-thick-clear-glass-containers-with-black-child-resistant-lids</t>
        </is>
      </c>
      <c r="V133" s="9" t="inlineStr">
        <is>
          <t>5ml thick clear glass containers with black child resistant lids; 320 pack listed at $271.99.</t>
        </is>
      </c>
      <c r="W133" s="13">
        <f>IF(G133="","",IF(G133&lt;=Assumptions!$B$9,Assumptions!$C$9,IF(G133&lt;=Assumptions!$B$10,Assumptions!$C$10,IF(G133&lt;=Assumptions!$B$11,Assumptions!$C$11,Assumptions!$C$12))))</f>
        <v/>
      </c>
      <c r="X133" s="13">
        <f>IF(F133="Branded",Assumptions!$B$5,IF(OR(F133="Packaging",F133="Bags"),Assumptions!$B$4,1))</f>
        <v/>
      </c>
      <c r="Y133" s="14">
        <f>IFERROR(VLOOKUP(F133,Assumptions!$A$16:$C$20,2,FALSE),0.40)</f>
        <v/>
      </c>
      <c r="Z133" s="14">
        <f>IFERROR(VLOOKUP(F133,Assumptions!$A$16:$C$20,3,FALSE),0.30)</f>
        <v/>
      </c>
      <c r="AA133" s="12">
        <f>IF(P133&lt;&gt;"",P133*X133*W133,IF(L133&lt;&gt;"",L133/(1-Y133),K133))</f>
        <v/>
      </c>
      <c r="AB133" s="12">
        <f>IF(L133&lt;&gt;"",L133/(1-Z133),"")</f>
        <v/>
      </c>
      <c r="AC133" s="12">
        <f>IF(AB133="",AA133,MAX(AA133,AB133))</f>
        <v/>
      </c>
      <c r="AD133" s="10">
        <f>IF(AC133="","",AC133*G133)</f>
        <v/>
      </c>
      <c r="AE133" s="10">
        <f>IF(AD133="","",ROUNDUP(AD133,0)-0.01)</f>
        <v/>
      </c>
      <c r="AF133" s="9">
        <f>IF(P133&lt;&gt;"","Competitor-based",IF(L133&lt;&gt;"","Cost+margin","Needs review"))</f>
        <v/>
      </c>
    </row>
    <row r="134" ht="46" customHeight="1">
      <c r="A134" s="13" t="inlineStr">
        <is>
          <t>5ml-screw-top-jar-with-black-lids</t>
        </is>
      </c>
      <c r="B134" s="9" t="inlineStr">
        <is>
          <t>5ml Screw Top Jar with Black Lids</t>
        </is>
      </c>
      <c r="C134" s="9" t="inlineStr">
        <is>
          <t>The 5ml Screw Top Jar with Black Lids is a compact glass concentrate jar built for extractors, brand owners, and serious dabbers who need clean, consistent storage for small runs and retail-ready grams. Its true 5ml capa…</t>
        </is>
      </c>
      <c r="D134" s="9" t="inlineStr">
        <is>
          <t>Quantity: 200</t>
        </is>
      </c>
      <c r="E134" s="13" t="inlineStr">
        <is>
          <t>5MLST-250</t>
        </is>
      </c>
      <c r="F134" s="13" t="inlineStr">
        <is>
          <t>Packaging</t>
        </is>
      </c>
      <c r="G134" s="11" t="n">
        <v>200</v>
      </c>
      <c r="H134" s="13" t="inlineStr">
        <is>
          <t>pcs</t>
        </is>
      </c>
      <c r="I134" s="10" t="n">
        <v>19.99</v>
      </c>
      <c r="J134" s="10" t="inlineStr"/>
      <c r="K134" s="12">
        <f>IFERROR(I134/G134,"")</f>
        <v/>
      </c>
      <c r="L134" s="12">
        <f>IFERROR(J134/G134,"")</f>
        <v/>
      </c>
      <c r="M134" s="14">
        <f>IFERROR((I134-J134)/I134,"")</f>
        <v/>
      </c>
      <c r="N134" s="10" t="n">
        <v>271.99</v>
      </c>
      <c r="O134" s="11" t="n">
        <v>320</v>
      </c>
      <c r="P134" s="12">
        <f>IFERROR(N134/O134,"")</f>
        <v/>
      </c>
      <c r="Q134" s="10" t="inlineStr"/>
      <c r="R134" s="11" t="inlineStr"/>
      <c r="S134" s="12">
        <f>IFERROR(Q134/R134,"")</f>
        <v/>
      </c>
      <c r="T134" s="13" t="inlineStr">
        <is>
          <t>Observed</t>
        </is>
      </c>
      <c r="U134" s="9" t="inlineStr">
        <is>
          <t>https://truearoma.com/products/5ml-thick-clear-glass-containers-with-black-child-resistant-lids</t>
        </is>
      </c>
      <c r="V134" s="9" t="inlineStr">
        <is>
          <t>5ml thick clear glass containers with black child resistant lids; 320 pack listed at $271.99.</t>
        </is>
      </c>
      <c r="W134" s="13">
        <f>IF(G134="","",IF(G134&lt;=Assumptions!$B$9,Assumptions!$C$9,IF(G134&lt;=Assumptions!$B$10,Assumptions!$C$10,IF(G134&lt;=Assumptions!$B$11,Assumptions!$C$11,Assumptions!$C$12))))</f>
        <v/>
      </c>
      <c r="X134" s="13">
        <f>IF(F134="Branded",Assumptions!$B$5,IF(OR(F134="Packaging",F134="Bags"),Assumptions!$B$4,1))</f>
        <v/>
      </c>
      <c r="Y134" s="14">
        <f>IFERROR(VLOOKUP(F134,Assumptions!$A$16:$C$20,2,FALSE),0.40)</f>
        <v/>
      </c>
      <c r="Z134" s="14">
        <f>IFERROR(VLOOKUP(F134,Assumptions!$A$16:$C$20,3,FALSE),0.30)</f>
        <v/>
      </c>
      <c r="AA134" s="12">
        <f>IF(P134&lt;&gt;"",P134*X134*W134,IF(L134&lt;&gt;"",L134/(1-Y134),K134))</f>
        <v/>
      </c>
      <c r="AB134" s="12">
        <f>IF(L134&lt;&gt;"",L134/(1-Z134),"")</f>
        <v/>
      </c>
      <c r="AC134" s="12">
        <f>IF(AB134="",AA134,MAX(AA134,AB134))</f>
        <v/>
      </c>
      <c r="AD134" s="10">
        <f>IF(AC134="","",AC134*G134)</f>
        <v/>
      </c>
      <c r="AE134" s="10">
        <f>IF(AD134="","",ROUNDUP(AD134,0)-0.01)</f>
        <v/>
      </c>
      <c r="AF134" s="9">
        <f>IF(P134&lt;&gt;"","Competitor-based",IF(L134&lt;&gt;"","Cost+margin","Needs review"))</f>
        <v/>
      </c>
    </row>
    <row r="135" ht="46" customHeight="1">
      <c r="A135" s="13" t="inlineStr">
        <is>
          <t>5ml-screw-top-jar-with-black-lids</t>
        </is>
      </c>
      <c r="B135" s="9" t="inlineStr">
        <is>
          <t>5ml Screw Top Jar with Black Lids</t>
        </is>
      </c>
      <c r="C135" s="9" t="inlineStr">
        <is>
          <t>The 5ml Screw Top Jar with Black Lids is a compact glass concentrate jar built for extractors, brand owners, and serious dabbers who need clean, consistent storage for small runs and retail-ready grams. Its true 5ml capa…</t>
        </is>
      </c>
      <c r="D135" s="9" t="inlineStr">
        <is>
          <t>Quantity: 500</t>
        </is>
      </c>
      <c r="E135" s="13" t="inlineStr">
        <is>
          <t>5MLST-500</t>
        </is>
      </c>
      <c r="F135" s="13" t="inlineStr">
        <is>
          <t>Packaging</t>
        </is>
      </c>
      <c r="G135" s="11" t="n">
        <v>500</v>
      </c>
      <c r="H135" s="13" t="inlineStr">
        <is>
          <t>pcs</t>
        </is>
      </c>
      <c r="I135" s="10" t="n">
        <v>24.99</v>
      </c>
      <c r="J135" s="10" t="inlineStr"/>
      <c r="K135" s="12">
        <f>IFERROR(I135/G135,"")</f>
        <v/>
      </c>
      <c r="L135" s="12">
        <f>IFERROR(J135/G135,"")</f>
        <v/>
      </c>
      <c r="M135" s="14">
        <f>IFERROR((I135-J135)/I135,"")</f>
        <v/>
      </c>
      <c r="N135" s="10" t="n">
        <v>271.99</v>
      </c>
      <c r="O135" s="11" t="n">
        <v>320</v>
      </c>
      <c r="P135" s="12">
        <f>IFERROR(N135/O135,"")</f>
        <v/>
      </c>
      <c r="Q135" s="10" t="inlineStr"/>
      <c r="R135" s="11" t="inlineStr"/>
      <c r="S135" s="12">
        <f>IFERROR(Q135/R135,"")</f>
        <v/>
      </c>
      <c r="T135" s="13" t="inlineStr">
        <is>
          <t>Observed</t>
        </is>
      </c>
      <c r="U135" s="9" t="inlineStr">
        <is>
          <t>https://truearoma.com/products/5ml-thick-clear-glass-containers-with-black-child-resistant-lids</t>
        </is>
      </c>
      <c r="V135" s="9" t="inlineStr">
        <is>
          <t>5ml thick clear glass containers with black child resistant lids; 320 pack listed at $271.99.</t>
        </is>
      </c>
      <c r="W135" s="13">
        <f>IF(G135="","",IF(G135&lt;=Assumptions!$B$9,Assumptions!$C$9,IF(G135&lt;=Assumptions!$B$10,Assumptions!$C$10,IF(G135&lt;=Assumptions!$B$11,Assumptions!$C$11,Assumptions!$C$12))))</f>
        <v/>
      </c>
      <c r="X135" s="13">
        <f>IF(F135="Branded",Assumptions!$B$5,IF(OR(F135="Packaging",F135="Bags"),Assumptions!$B$4,1))</f>
        <v/>
      </c>
      <c r="Y135" s="14">
        <f>IFERROR(VLOOKUP(F135,Assumptions!$A$16:$C$20,2,FALSE),0.40)</f>
        <v/>
      </c>
      <c r="Z135" s="14">
        <f>IFERROR(VLOOKUP(F135,Assumptions!$A$16:$C$20,3,FALSE),0.30)</f>
        <v/>
      </c>
      <c r="AA135" s="12">
        <f>IF(P135&lt;&gt;"",P135*X135*W135,IF(L135&lt;&gt;"",L135/(1-Y135),K135))</f>
        <v/>
      </c>
      <c r="AB135" s="12">
        <f>IF(L135&lt;&gt;"",L135/(1-Z135),"")</f>
        <v/>
      </c>
      <c r="AC135" s="12">
        <f>IF(AB135="",AA135,MAX(AA135,AB135))</f>
        <v/>
      </c>
      <c r="AD135" s="10">
        <f>IF(AC135="","",AC135*G135)</f>
        <v/>
      </c>
      <c r="AE135" s="10">
        <f>IF(AD135="","",ROUNDUP(AD135,0)-0.01)</f>
        <v/>
      </c>
      <c r="AF135" s="9">
        <f>IF(P135&lt;&gt;"","Competitor-based",IF(L135&lt;&gt;"","Cost+margin","Needs review"))</f>
        <v/>
      </c>
    </row>
    <row r="136" ht="46" customHeight="1">
      <c r="A136" s="13" t="inlineStr">
        <is>
          <t>3oz-glass-jar-with-black-cr-lid</t>
        </is>
      </c>
      <c r="B136" s="9" t="inlineStr">
        <is>
          <t>3oz Glass Jar with Black Child-Resistant Lid</t>
        </is>
      </c>
      <c r="C136" s="9" t="inlineStr">
        <is>
          <t>The 3oz Glass Jar with Black Child-Resistant Lid is a clear glass flower jar built for cannabis brands, dispensaries, and processors who need packaging that actually looks good on the shelf and passes compliance checks. …</t>
        </is>
      </c>
      <c r="D136" s="9" t="inlineStr">
        <is>
          <t>Quantity: 50</t>
        </is>
      </c>
      <c r="E136" s="13" t="inlineStr">
        <is>
          <t>3OZCR-50</t>
        </is>
      </c>
      <c r="F136" s="13" t="inlineStr">
        <is>
          <t>Packaging</t>
        </is>
      </c>
      <c r="G136" s="11" t="n">
        <v>50</v>
      </c>
      <c r="H136" s="13" t="inlineStr">
        <is>
          <t>pcs</t>
        </is>
      </c>
      <c r="I136" s="10" t="n">
        <v>29.99</v>
      </c>
      <c r="J136" s="10" t="inlineStr"/>
      <c r="K136" s="12">
        <f>IFERROR(I136/G136,"")</f>
        <v/>
      </c>
      <c r="L136" s="12">
        <f>IFERROR(J136/G136,"")</f>
        <v/>
      </c>
      <c r="M136" s="14">
        <f>IFERROR((I136-J136)/I136,"")</f>
        <v/>
      </c>
      <c r="N136" s="10" t="n">
        <v>69.95</v>
      </c>
      <c r="O136" s="11" t="n">
        <v>150</v>
      </c>
      <c r="P136" s="12">
        <f>IFERROR(N136/O136,"")</f>
        <v/>
      </c>
      <c r="Q136" s="10" t="inlineStr"/>
      <c r="R136" s="11" t="inlineStr"/>
      <c r="S136" s="12">
        <f>IFERROR(Q136/R136,"")</f>
        <v/>
      </c>
      <c r="T136" s="13" t="inlineStr">
        <is>
          <t>Observed</t>
        </is>
      </c>
      <c r="U136" s="9" t="inlineStr">
        <is>
          <t>https://dragonchewer.com/products/3-ounce-clear-glass-jar-child-resistant-white-smooth-cap-150-qty-1</t>
        </is>
      </c>
      <c r="V136" s="9" t="inlineStr">
        <is>
          <t>3 ounce glass jar with child resistant cap; 150 qty sale price $69.95.</t>
        </is>
      </c>
      <c r="W136" s="13">
        <f>IF(G136="","",IF(G136&lt;=Assumptions!$B$9,Assumptions!$C$9,IF(G136&lt;=Assumptions!$B$10,Assumptions!$C$10,IF(G136&lt;=Assumptions!$B$11,Assumptions!$C$11,Assumptions!$C$12))))</f>
        <v/>
      </c>
      <c r="X136" s="13">
        <f>IF(F136="Branded",Assumptions!$B$5,IF(OR(F136="Packaging",F136="Bags"),Assumptions!$B$4,1))</f>
        <v/>
      </c>
      <c r="Y136" s="14">
        <f>IFERROR(VLOOKUP(F136,Assumptions!$A$16:$C$20,2,FALSE),0.40)</f>
        <v/>
      </c>
      <c r="Z136" s="14">
        <f>IFERROR(VLOOKUP(F136,Assumptions!$A$16:$C$20,3,FALSE),0.30)</f>
        <v/>
      </c>
      <c r="AA136" s="12">
        <f>IF(P136&lt;&gt;"",P136*X136*W136,IF(L136&lt;&gt;"",L136/(1-Y136),K136))</f>
        <v/>
      </c>
      <c r="AB136" s="12">
        <f>IF(L136&lt;&gt;"",L136/(1-Z136),"")</f>
        <v/>
      </c>
      <c r="AC136" s="12">
        <f>IF(AB136="",AA136,MAX(AA136,AB136))</f>
        <v/>
      </c>
      <c r="AD136" s="10">
        <f>IF(AC136="","",AC136*G136)</f>
        <v/>
      </c>
      <c r="AE136" s="10">
        <f>IF(AD136="","",ROUNDUP(AD136,0)-0.01)</f>
        <v/>
      </c>
      <c r="AF136" s="9">
        <f>IF(P136&lt;&gt;"","Competitor-based",IF(L136&lt;&gt;"","Cost+margin","Needs review"))</f>
        <v/>
      </c>
    </row>
    <row r="137" ht="46" customHeight="1">
      <c r="A137" s="13" t="inlineStr">
        <is>
          <t>3oz-glass-jar-with-black-cr-lid</t>
        </is>
      </c>
      <c r="B137" s="9" t="inlineStr">
        <is>
          <t>3oz Glass Jar with Black Child-Resistant Lid</t>
        </is>
      </c>
      <c r="C137" s="9" t="inlineStr">
        <is>
          <t>The 3oz Glass Jar with Black Child-Resistant Lid is a clear glass flower jar built for cannabis brands, dispensaries, and processors who need packaging that actually looks good on the shelf and passes compliance checks. …</t>
        </is>
      </c>
      <c r="D137" s="9" t="inlineStr">
        <is>
          <t>Quantity: 150</t>
        </is>
      </c>
      <c r="E137" s="13" t="inlineStr">
        <is>
          <t>3OZCR-150</t>
        </is>
      </c>
      <c r="F137" s="13" t="inlineStr">
        <is>
          <t>Packaging</t>
        </is>
      </c>
      <c r="G137" s="11" t="n">
        <v>150</v>
      </c>
      <c r="H137" s="13" t="inlineStr">
        <is>
          <t>pcs</t>
        </is>
      </c>
      <c r="I137" s="10" t="n">
        <v>29.99</v>
      </c>
      <c r="J137" s="10" t="inlineStr"/>
      <c r="K137" s="12">
        <f>IFERROR(I137/G137,"")</f>
        <v/>
      </c>
      <c r="L137" s="12">
        <f>IFERROR(J137/G137,"")</f>
        <v/>
      </c>
      <c r="M137" s="14">
        <f>IFERROR((I137-J137)/I137,"")</f>
        <v/>
      </c>
      <c r="N137" s="10" t="n">
        <v>69.95</v>
      </c>
      <c r="O137" s="11" t="n">
        <v>150</v>
      </c>
      <c r="P137" s="12">
        <f>IFERROR(N137/O137,"")</f>
        <v/>
      </c>
      <c r="Q137" s="10" t="inlineStr"/>
      <c r="R137" s="11" t="inlineStr"/>
      <c r="S137" s="12">
        <f>IFERROR(Q137/R137,"")</f>
        <v/>
      </c>
      <c r="T137" s="13" t="inlineStr">
        <is>
          <t>Observed</t>
        </is>
      </c>
      <c r="U137" s="9" t="inlineStr">
        <is>
          <t>https://dragonchewer.com/products/3-ounce-clear-glass-jar-child-resistant-white-smooth-cap-150-qty-1</t>
        </is>
      </c>
      <c r="V137" s="9" t="inlineStr">
        <is>
          <t>3 ounce glass jar with child resistant cap; 150 qty sale price $69.95.</t>
        </is>
      </c>
      <c r="W137" s="13">
        <f>IF(G137="","",IF(G137&lt;=Assumptions!$B$9,Assumptions!$C$9,IF(G137&lt;=Assumptions!$B$10,Assumptions!$C$10,IF(G137&lt;=Assumptions!$B$11,Assumptions!$C$11,Assumptions!$C$12))))</f>
        <v/>
      </c>
      <c r="X137" s="13">
        <f>IF(F137="Branded",Assumptions!$B$5,IF(OR(F137="Packaging",F137="Bags"),Assumptions!$B$4,1))</f>
        <v/>
      </c>
      <c r="Y137" s="14">
        <f>IFERROR(VLOOKUP(F137,Assumptions!$A$16:$C$20,2,FALSE),0.40)</f>
        <v/>
      </c>
      <c r="Z137" s="14">
        <f>IFERROR(VLOOKUP(F137,Assumptions!$A$16:$C$20,3,FALSE),0.30)</f>
        <v/>
      </c>
      <c r="AA137" s="12">
        <f>IF(P137&lt;&gt;"",P137*X137*W137,IF(L137&lt;&gt;"",L137/(1-Y137),K137))</f>
        <v/>
      </c>
      <c r="AB137" s="12">
        <f>IF(L137&lt;&gt;"",L137/(1-Z137),"")</f>
        <v/>
      </c>
      <c r="AC137" s="12">
        <f>IF(AB137="",AA137,MAX(AA137,AB137))</f>
        <v/>
      </c>
      <c r="AD137" s="10">
        <f>IF(AC137="","",AC137*G137)</f>
        <v/>
      </c>
      <c r="AE137" s="10">
        <f>IF(AD137="","",ROUNDUP(AD137,0)-0.01)</f>
        <v/>
      </c>
      <c r="AF137" s="9">
        <f>IF(P137&lt;&gt;"","Competitor-based",IF(L137&lt;&gt;"","Cost+margin","Needs review"))</f>
        <v/>
      </c>
    </row>
    <row r="138" ht="46" customHeight="1">
      <c r="A138" s="13" t="inlineStr">
        <is>
          <t>3oz-glass-jar-with-black-cr-lid</t>
        </is>
      </c>
      <c r="B138" s="9" t="inlineStr">
        <is>
          <t>3oz Glass Jar with Black Child-Resistant Lid</t>
        </is>
      </c>
      <c r="C138" s="9" t="inlineStr">
        <is>
          <t>The 3oz Glass Jar with Black Child-Resistant Lid is a clear glass flower jar built for cannabis brands, dispensaries, and processors who need packaging that actually looks good on the shelf and passes compliance checks. …</t>
        </is>
      </c>
      <c r="D138" s="9" t="inlineStr">
        <is>
          <t>Quantity: 600</t>
        </is>
      </c>
      <c r="E138" s="13" t="inlineStr">
        <is>
          <t>3OZCR-600</t>
        </is>
      </c>
      <c r="F138" s="13" t="inlineStr">
        <is>
          <t>Packaging</t>
        </is>
      </c>
      <c r="G138" s="11" t="n">
        <v>600</v>
      </c>
      <c r="H138" s="13" t="inlineStr">
        <is>
          <t>pcs</t>
        </is>
      </c>
      <c r="I138" s="10" t="n">
        <v>34.99</v>
      </c>
      <c r="J138" s="10" t="inlineStr"/>
      <c r="K138" s="12">
        <f>IFERROR(I138/G138,"")</f>
        <v/>
      </c>
      <c r="L138" s="12">
        <f>IFERROR(J138/G138,"")</f>
        <v/>
      </c>
      <c r="M138" s="14">
        <f>IFERROR((I138-J138)/I138,"")</f>
        <v/>
      </c>
      <c r="N138" s="10" t="n">
        <v>69.95</v>
      </c>
      <c r="O138" s="11" t="n">
        <v>150</v>
      </c>
      <c r="P138" s="12">
        <f>IFERROR(N138/O138,"")</f>
        <v/>
      </c>
      <c r="Q138" s="10" t="inlineStr"/>
      <c r="R138" s="11" t="inlineStr"/>
      <c r="S138" s="12">
        <f>IFERROR(Q138/R138,"")</f>
        <v/>
      </c>
      <c r="T138" s="13" t="inlineStr">
        <is>
          <t>Observed</t>
        </is>
      </c>
      <c r="U138" s="9" t="inlineStr">
        <is>
          <t>https://dragonchewer.com/products/3-ounce-clear-glass-jar-child-resistant-white-smooth-cap-150-qty-1</t>
        </is>
      </c>
      <c r="V138" s="9" t="inlineStr">
        <is>
          <t>3 ounce glass jar with child resistant cap; 150 qty sale price $69.95.</t>
        </is>
      </c>
      <c r="W138" s="13">
        <f>IF(G138="","",IF(G138&lt;=Assumptions!$B$9,Assumptions!$C$9,IF(G138&lt;=Assumptions!$B$10,Assumptions!$C$10,IF(G138&lt;=Assumptions!$B$11,Assumptions!$C$11,Assumptions!$C$12))))</f>
        <v/>
      </c>
      <c r="X138" s="13">
        <f>IF(F138="Branded",Assumptions!$B$5,IF(OR(F138="Packaging",F138="Bags"),Assumptions!$B$4,1))</f>
        <v/>
      </c>
      <c r="Y138" s="14">
        <f>IFERROR(VLOOKUP(F138,Assumptions!$A$16:$C$20,2,FALSE),0.40)</f>
        <v/>
      </c>
      <c r="Z138" s="14">
        <f>IFERROR(VLOOKUP(F138,Assumptions!$A$16:$C$20,3,FALSE),0.30)</f>
        <v/>
      </c>
      <c r="AA138" s="12">
        <f>IF(P138&lt;&gt;"",P138*X138*W138,IF(L138&lt;&gt;"",L138/(1-Y138),K138))</f>
        <v/>
      </c>
      <c r="AB138" s="12">
        <f>IF(L138&lt;&gt;"",L138/(1-Z138),"")</f>
        <v/>
      </c>
      <c r="AC138" s="12">
        <f>IF(AB138="",AA138,MAX(AA138,AB138))</f>
        <v/>
      </c>
      <c r="AD138" s="10">
        <f>IF(AC138="","",AC138*G138)</f>
        <v/>
      </c>
      <c r="AE138" s="10">
        <f>IF(AD138="","",ROUNDUP(AD138,0)-0.01)</f>
        <v/>
      </c>
      <c r="AF138" s="9">
        <f>IF(P138&lt;&gt;"","Competitor-based",IF(L138&lt;&gt;"","Cost+margin","Needs review"))</f>
        <v/>
      </c>
    </row>
    <row r="139" ht="46" customHeight="1">
      <c r="A139" s="13" t="inlineStr">
        <is>
          <t>3oz-glass-jar-with-black-cr-lid</t>
        </is>
      </c>
      <c r="B139" s="9" t="inlineStr">
        <is>
          <t>3oz Glass Jar with Black Child-Resistant Lid</t>
        </is>
      </c>
      <c r="C139" s="9" t="inlineStr">
        <is>
          <t>The 3oz Glass Jar with Black Child-Resistant Lid is a clear glass flower jar built for cannabis brands, dispensaries, and processors who need packaging that actually looks good on the shelf and passes compliance checks. …</t>
        </is>
      </c>
      <c r="D139" s="9" t="inlineStr">
        <is>
          <t>Quantity: 1500</t>
        </is>
      </c>
      <c r="E139" s="13" t="inlineStr">
        <is>
          <t>3OZCR-1500</t>
        </is>
      </c>
      <c r="F139" s="13" t="inlineStr">
        <is>
          <t>Packaging</t>
        </is>
      </c>
      <c r="G139" s="11" t="n">
        <v>1500</v>
      </c>
      <c r="H139" s="13" t="inlineStr">
        <is>
          <t>pcs</t>
        </is>
      </c>
      <c r="I139" s="10" t="n">
        <v>399.99</v>
      </c>
      <c r="J139" s="10" t="inlineStr"/>
      <c r="K139" s="12">
        <f>IFERROR(I139/G139,"")</f>
        <v/>
      </c>
      <c r="L139" s="12">
        <f>IFERROR(J139/G139,"")</f>
        <v/>
      </c>
      <c r="M139" s="14">
        <f>IFERROR((I139-J139)/I139,"")</f>
        <v/>
      </c>
      <c r="N139" s="10" t="n">
        <v>69.95</v>
      </c>
      <c r="O139" s="11" t="n">
        <v>150</v>
      </c>
      <c r="P139" s="12">
        <f>IFERROR(N139/O139,"")</f>
        <v/>
      </c>
      <c r="Q139" s="10" t="inlineStr"/>
      <c r="R139" s="11" t="inlineStr"/>
      <c r="S139" s="12">
        <f>IFERROR(Q139/R139,"")</f>
        <v/>
      </c>
      <c r="T139" s="13" t="inlineStr">
        <is>
          <t>Observed</t>
        </is>
      </c>
      <c r="U139" s="9" t="inlineStr">
        <is>
          <t>https://dragonchewer.com/products/3-ounce-clear-glass-jar-child-resistant-white-smooth-cap-150-qty-1</t>
        </is>
      </c>
      <c r="V139" s="9" t="inlineStr">
        <is>
          <t>3 ounce glass jar with child resistant cap; 150 qty sale price $69.95.</t>
        </is>
      </c>
      <c r="W139" s="13">
        <f>IF(G139="","",IF(G139&lt;=Assumptions!$B$9,Assumptions!$C$9,IF(G139&lt;=Assumptions!$B$10,Assumptions!$C$10,IF(G139&lt;=Assumptions!$B$11,Assumptions!$C$11,Assumptions!$C$12))))</f>
        <v/>
      </c>
      <c r="X139" s="13">
        <f>IF(F139="Branded",Assumptions!$B$5,IF(OR(F139="Packaging",F139="Bags"),Assumptions!$B$4,1))</f>
        <v/>
      </c>
      <c r="Y139" s="14">
        <f>IFERROR(VLOOKUP(F139,Assumptions!$A$16:$C$20,2,FALSE),0.40)</f>
        <v/>
      </c>
      <c r="Z139" s="14">
        <f>IFERROR(VLOOKUP(F139,Assumptions!$A$16:$C$20,3,FALSE),0.30)</f>
        <v/>
      </c>
      <c r="AA139" s="12">
        <f>IF(P139&lt;&gt;"",P139*X139*W139,IF(L139&lt;&gt;"",L139/(1-Y139),K139))</f>
        <v/>
      </c>
      <c r="AB139" s="12">
        <f>IF(L139&lt;&gt;"",L139/(1-Z139),"")</f>
        <v/>
      </c>
      <c r="AC139" s="12">
        <f>IF(AB139="",AA139,MAX(AA139,AB139))</f>
        <v/>
      </c>
      <c r="AD139" s="10">
        <f>IF(AC139="","",AC139*G139)</f>
        <v/>
      </c>
      <c r="AE139" s="10">
        <f>IF(AD139="","",ROUNDUP(AD139,0)-0.01)</f>
        <v/>
      </c>
      <c r="AF139" s="9">
        <f>IF(P139&lt;&gt;"","Competitor-based",IF(L139&lt;&gt;"","Cost+margin","Needs review"))</f>
        <v/>
      </c>
    </row>
    <row r="140" ht="46" customHeight="1">
      <c r="A140" s="13" t="inlineStr">
        <is>
          <t>3oz-glass-jar-with-black-cr-lid</t>
        </is>
      </c>
      <c r="B140" s="9" t="inlineStr">
        <is>
          <t>3oz Glass Jar with Black Child-Resistant Lid</t>
        </is>
      </c>
      <c r="C140" s="9" t="inlineStr">
        <is>
          <t>The 3oz Glass Jar with Black Child-Resistant Lid is a clear glass flower jar built for cannabis brands, dispensaries, and processors who need packaging that actually looks good on the shelf and passes compliance checks. …</t>
        </is>
      </c>
      <c r="D140" s="9" t="inlineStr">
        <is>
          <t>Quantity: 4500</t>
        </is>
      </c>
      <c r="E140" s="13" t="inlineStr">
        <is>
          <t>3OZCR-4500</t>
        </is>
      </c>
      <c r="F140" s="13" t="inlineStr">
        <is>
          <t>Packaging</t>
        </is>
      </c>
      <c r="G140" s="11" t="n">
        <v>4500</v>
      </c>
      <c r="H140" s="13" t="inlineStr">
        <is>
          <t>pcs</t>
        </is>
      </c>
      <c r="I140" s="10" t="n">
        <v>19.99</v>
      </c>
      <c r="J140" s="10" t="inlineStr"/>
      <c r="K140" s="12">
        <f>IFERROR(I140/G140,"")</f>
        <v/>
      </c>
      <c r="L140" s="12">
        <f>IFERROR(J140/G140,"")</f>
        <v/>
      </c>
      <c r="M140" s="14">
        <f>IFERROR((I140-J140)/I140,"")</f>
        <v/>
      </c>
      <c r="N140" s="10" t="n">
        <v>69.95</v>
      </c>
      <c r="O140" s="11" t="n">
        <v>150</v>
      </c>
      <c r="P140" s="12">
        <f>IFERROR(N140/O140,"")</f>
        <v/>
      </c>
      <c r="Q140" s="10" t="inlineStr"/>
      <c r="R140" s="11" t="inlineStr"/>
      <c r="S140" s="12">
        <f>IFERROR(Q140/R140,"")</f>
        <v/>
      </c>
      <c r="T140" s="13" t="inlineStr">
        <is>
          <t>Observed</t>
        </is>
      </c>
      <c r="U140" s="9" t="inlineStr">
        <is>
          <t>https://dragonchewer.com/products/3-ounce-clear-glass-jar-child-resistant-white-smooth-cap-150-qty-1</t>
        </is>
      </c>
      <c r="V140" s="9" t="inlineStr">
        <is>
          <t>3 ounce glass jar with child resistant cap; 150 qty sale price $69.95.</t>
        </is>
      </c>
      <c r="W140" s="13">
        <f>IF(G140="","",IF(G140&lt;=Assumptions!$B$9,Assumptions!$C$9,IF(G140&lt;=Assumptions!$B$10,Assumptions!$C$10,IF(G140&lt;=Assumptions!$B$11,Assumptions!$C$11,Assumptions!$C$12))))</f>
        <v/>
      </c>
      <c r="X140" s="13">
        <f>IF(F140="Branded",Assumptions!$B$5,IF(OR(F140="Packaging",F140="Bags"),Assumptions!$B$4,1))</f>
        <v/>
      </c>
      <c r="Y140" s="14">
        <f>IFERROR(VLOOKUP(F140,Assumptions!$A$16:$C$20,2,FALSE),0.40)</f>
        <v/>
      </c>
      <c r="Z140" s="14">
        <f>IFERROR(VLOOKUP(F140,Assumptions!$A$16:$C$20,3,FALSE),0.30)</f>
        <v/>
      </c>
      <c r="AA140" s="12">
        <f>IF(P140&lt;&gt;"",P140*X140*W140,IF(L140&lt;&gt;"",L140/(1-Y140),K140))</f>
        <v/>
      </c>
      <c r="AB140" s="12">
        <f>IF(L140&lt;&gt;"",L140/(1-Z140),"")</f>
        <v/>
      </c>
      <c r="AC140" s="12">
        <f>IF(AB140="",AA140,MAX(AA140,AB140))</f>
        <v/>
      </c>
      <c r="AD140" s="10">
        <f>IF(AC140="","",AC140*G140)</f>
        <v/>
      </c>
      <c r="AE140" s="10">
        <f>IF(AD140="","",ROUNDUP(AD140,0)-0.01)</f>
        <v/>
      </c>
      <c r="AF140" s="9">
        <f>IF(P140&lt;&gt;"","Competitor-based",IF(L140&lt;&gt;"","Cost+margin","Needs review"))</f>
        <v/>
      </c>
    </row>
    <row r="141" ht="46" customHeight="1">
      <c r="A141" s="13" t="inlineStr">
        <is>
          <t>1ml-glass-syringe</t>
        </is>
      </c>
      <c r="B141" s="9" t="inlineStr">
        <is>
          <t>1ml Glass Syringe</t>
        </is>
      </c>
      <c r="C141" s="9" t="inlineStr">
        <is>
          <t>The Oil Slick 1ml Glass Syringe is a precision dosing syringe built for extractors, processors, and serious dabbers who need clean, controlled handling of concentrates. The true 1 ml capacity and secure Luer Lock cap mak…</t>
        </is>
      </c>
      <c r="D141" s="9" t="inlineStr">
        <is>
          <t>Quantity: 1 (SAMPLE)</t>
        </is>
      </c>
      <c r="E141" s="13" t="inlineStr">
        <is>
          <t>Syringe-1</t>
        </is>
      </c>
      <c r="F141" s="13" t="inlineStr">
        <is>
          <t>Packaging</t>
        </is>
      </c>
      <c r="G141" s="11" t="n">
        <v>1</v>
      </c>
      <c r="H141" s="13" t="inlineStr">
        <is>
          <t>pcs</t>
        </is>
      </c>
      <c r="I141" s="10" t="n">
        <v>21.99</v>
      </c>
      <c r="J141" s="10" t="n">
        <v>0.48</v>
      </c>
      <c r="K141" s="12">
        <f>IFERROR(I141/G141,"")</f>
        <v/>
      </c>
      <c r="L141" s="12">
        <f>IFERROR(J141/G141,"")</f>
        <v/>
      </c>
      <c r="M141" s="14">
        <f>IFERROR((I141-J141)/I141,"")</f>
        <v/>
      </c>
      <c r="N141" s="10" t="inlineStr"/>
      <c r="O141" s="11" t="inlineStr"/>
      <c r="P141" s="12">
        <f>IFERROR(N141/O141,"")</f>
        <v/>
      </c>
      <c r="Q141" s="10" t="inlineStr"/>
      <c r="R141" s="11" t="inlineStr"/>
      <c r="S141" s="12">
        <f>IFERROR(Q141/R141,"")</f>
        <v/>
      </c>
      <c r="T141" s="13" t="inlineStr"/>
      <c r="U141" s="9" t="inlineStr"/>
      <c r="V141" s="9" t="inlineStr"/>
      <c r="W141" s="13">
        <f>IF(G141="","",IF(G141&lt;=Assumptions!$B$9,Assumptions!$C$9,IF(G141&lt;=Assumptions!$B$10,Assumptions!$C$10,IF(G141&lt;=Assumptions!$B$11,Assumptions!$C$11,Assumptions!$C$12))))</f>
        <v/>
      </c>
      <c r="X141" s="13">
        <f>IF(F141="Branded",Assumptions!$B$5,IF(OR(F141="Packaging",F141="Bags"),Assumptions!$B$4,1))</f>
        <v/>
      </c>
      <c r="Y141" s="14">
        <f>IFERROR(VLOOKUP(F141,Assumptions!$A$16:$C$20,2,FALSE),0.40)</f>
        <v/>
      </c>
      <c r="Z141" s="14">
        <f>IFERROR(VLOOKUP(F141,Assumptions!$A$16:$C$20,3,FALSE),0.30)</f>
        <v/>
      </c>
      <c r="AA141" s="12">
        <f>IF(P141&lt;&gt;"",P141*X141*W141,IF(L141&lt;&gt;"",L141/(1-Y141),K141))</f>
        <v/>
      </c>
      <c r="AB141" s="12">
        <f>IF(L141&lt;&gt;"",L141/(1-Z141),"")</f>
        <v/>
      </c>
      <c r="AC141" s="12">
        <f>IF(AB141="",AA141,MAX(AA141,AB141))</f>
        <v/>
      </c>
      <c r="AD141" s="10">
        <f>IF(AC141="","",AC141*G141)</f>
        <v/>
      </c>
      <c r="AE141" s="10">
        <f>IF(AD141="","",ROUNDUP(AD141,0)-0.01)</f>
        <v/>
      </c>
      <c r="AF141" s="9">
        <f>IF(P141&lt;&gt;"","Competitor-based",IF(L141&lt;&gt;"","Cost+margin","Needs review"))</f>
        <v/>
      </c>
    </row>
    <row r="142" ht="46" customHeight="1">
      <c r="A142" s="13" t="inlineStr">
        <is>
          <t>1ml-glass-syringe</t>
        </is>
      </c>
      <c r="B142" s="9" t="inlineStr">
        <is>
          <t>1ml Glass Syringe</t>
        </is>
      </c>
      <c r="C142" s="9" t="inlineStr">
        <is>
          <t>The Oil Slick 1ml Glass Syringe is a precision dosing syringe built for extractors, processors, and serious dabbers who need clean, controlled handling of concentrates. The true 1 ml capacity and secure Luer Lock cap mak…</t>
        </is>
      </c>
      <c r="D142" s="9" t="inlineStr">
        <is>
          <t>Quantity: 10</t>
        </is>
      </c>
      <c r="E142" s="13" t="inlineStr">
        <is>
          <t>Syringe-10</t>
        </is>
      </c>
      <c r="F142" s="13" t="inlineStr">
        <is>
          <t>Packaging</t>
        </is>
      </c>
      <c r="G142" s="11" t="n">
        <v>10</v>
      </c>
      <c r="H142" s="13" t="inlineStr">
        <is>
          <t>pcs</t>
        </is>
      </c>
      <c r="I142" s="10" t="n">
        <v>41.99</v>
      </c>
      <c r="J142" s="10" t="n">
        <v>0.48</v>
      </c>
      <c r="K142" s="12">
        <f>IFERROR(I142/G142,"")</f>
        <v/>
      </c>
      <c r="L142" s="12">
        <f>IFERROR(J142/G142,"")</f>
        <v/>
      </c>
      <c r="M142" s="14">
        <f>IFERROR((I142-J142)/I142,"")</f>
        <v/>
      </c>
      <c r="N142" s="10" t="inlineStr"/>
      <c r="O142" s="11" t="inlineStr"/>
      <c r="P142" s="12">
        <f>IFERROR(N142/O142,"")</f>
        <v/>
      </c>
      <c r="Q142" s="10" t="inlineStr"/>
      <c r="R142" s="11" t="inlineStr"/>
      <c r="S142" s="12">
        <f>IFERROR(Q142/R142,"")</f>
        <v/>
      </c>
      <c r="T142" s="13" t="inlineStr"/>
      <c r="U142" s="9" t="inlineStr"/>
      <c r="V142" s="9" t="inlineStr"/>
      <c r="W142" s="13">
        <f>IF(G142="","",IF(G142&lt;=Assumptions!$B$9,Assumptions!$C$9,IF(G142&lt;=Assumptions!$B$10,Assumptions!$C$10,IF(G142&lt;=Assumptions!$B$11,Assumptions!$C$11,Assumptions!$C$12))))</f>
        <v/>
      </c>
      <c r="X142" s="13">
        <f>IF(F142="Branded",Assumptions!$B$5,IF(OR(F142="Packaging",F142="Bags"),Assumptions!$B$4,1))</f>
        <v/>
      </c>
      <c r="Y142" s="14">
        <f>IFERROR(VLOOKUP(F142,Assumptions!$A$16:$C$20,2,FALSE),0.40)</f>
        <v/>
      </c>
      <c r="Z142" s="14">
        <f>IFERROR(VLOOKUP(F142,Assumptions!$A$16:$C$20,3,FALSE),0.30)</f>
        <v/>
      </c>
      <c r="AA142" s="12">
        <f>IF(P142&lt;&gt;"",P142*X142*W142,IF(L142&lt;&gt;"",L142/(1-Y142),K142))</f>
        <v/>
      </c>
      <c r="AB142" s="12">
        <f>IF(L142&lt;&gt;"",L142/(1-Z142),"")</f>
        <v/>
      </c>
      <c r="AC142" s="12">
        <f>IF(AB142="",AA142,MAX(AA142,AB142))</f>
        <v/>
      </c>
      <c r="AD142" s="10">
        <f>IF(AC142="","",AC142*G142)</f>
        <v/>
      </c>
      <c r="AE142" s="10">
        <f>IF(AD142="","",ROUNDUP(AD142,0)-0.01)</f>
        <v/>
      </c>
      <c r="AF142" s="9">
        <f>IF(P142&lt;&gt;"","Competitor-based",IF(L142&lt;&gt;"","Cost+margin","Needs review"))</f>
        <v/>
      </c>
    </row>
    <row r="143" ht="46" customHeight="1">
      <c r="A143" s="13" t="inlineStr">
        <is>
          <t>1ml-glass-syringe</t>
        </is>
      </c>
      <c r="B143" s="9" t="inlineStr">
        <is>
          <t>1ml Glass Syringe</t>
        </is>
      </c>
      <c r="C143" s="9" t="inlineStr">
        <is>
          <t>The Oil Slick 1ml Glass Syringe is a precision dosing syringe built for extractors, processors, and serious dabbers who need clean, controlled handling of concentrates. The true 1 ml capacity and secure Luer Lock cap mak…</t>
        </is>
      </c>
      <c r="D143" s="9" t="inlineStr">
        <is>
          <t>Quantity: 100</t>
        </is>
      </c>
      <c r="E143" s="13" t="inlineStr">
        <is>
          <t>Syringe-100</t>
        </is>
      </c>
      <c r="F143" s="13" t="inlineStr">
        <is>
          <t>Packaging</t>
        </is>
      </c>
      <c r="G143" s="11" t="n">
        <v>100</v>
      </c>
      <c r="H143" s="13" t="inlineStr">
        <is>
          <t>pcs</t>
        </is>
      </c>
      <c r="I143" s="10" t="n">
        <v>21.99</v>
      </c>
      <c r="J143" s="10" t="n">
        <v>0.48</v>
      </c>
      <c r="K143" s="12">
        <f>IFERROR(I143/G143,"")</f>
        <v/>
      </c>
      <c r="L143" s="12">
        <f>IFERROR(J143/G143,"")</f>
        <v/>
      </c>
      <c r="M143" s="14">
        <f>IFERROR((I143-J143)/I143,"")</f>
        <v/>
      </c>
      <c r="N143" s="10" t="inlineStr"/>
      <c r="O143" s="11" t="inlineStr"/>
      <c r="P143" s="12">
        <f>IFERROR(N143/O143,"")</f>
        <v/>
      </c>
      <c r="Q143" s="10" t="inlineStr"/>
      <c r="R143" s="11" t="inlineStr"/>
      <c r="S143" s="12">
        <f>IFERROR(Q143/R143,"")</f>
        <v/>
      </c>
      <c r="T143" s="13" t="inlineStr"/>
      <c r="U143" s="9" t="inlineStr"/>
      <c r="V143" s="9" t="inlineStr"/>
      <c r="W143" s="13">
        <f>IF(G143="","",IF(G143&lt;=Assumptions!$B$9,Assumptions!$C$9,IF(G143&lt;=Assumptions!$B$10,Assumptions!$C$10,IF(G143&lt;=Assumptions!$B$11,Assumptions!$C$11,Assumptions!$C$12))))</f>
        <v/>
      </c>
      <c r="X143" s="13">
        <f>IF(F143="Branded",Assumptions!$B$5,IF(OR(F143="Packaging",F143="Bags"),Assumptions!$B$4,1))</f>
        <v/>
      </c>
      <c r="Y143" s="14">
        <f>IFERROR(VLOOKUP(F143,Assumptions!$A$16:$C$20,2,FALSE),0.40)</f>
        <v/>
      </c>
      <c r="Z143" s="14">
        <f>IFERROR(VLOOKUP(F143,Assumptions!$A$16:$C$20,3,FALSE),0.30)</f>
        <v/>
      </c>
      <c r="AA143" s="12">
        <f>IF(P143&lt;&gt;"",P143*X143*W143,IF(L143&lt;&gt;"",L143/(1-Y143),K143))</f>
        <v/>
      </c>
      <c r="AB143" s="12">
        <f>IF(L143&lt;&gt;"",L143/(1-Z143),"")</f>
        <v/>
      </c>
      <c r="AC143" s="12">
        <f>IF(AB143="",AA143,MAX(AA143,AB143))</f>
        <v/>
      </c>
      <c r="AD143" s="10">
        <f>IF(AC143="","",AC143*G143)</f>
        <v/>
      </c>
      <c r="AE143" s="10">
        <f>IF(AD143="","",ROUNDUP(AD143,0)-0.01)</f>
        <v/>
      </c>
      <c r="AF143" s="9">
        <f>IF(P143&lt;&gt;"","Competitor-based",IF(L143&lt;&gt;"","Cost+margin","Needs review"))</f>
        <v/>
      </c>
    </row>
    <row r="144" ht="46" customHeight="1">
      <c r="A144" s="13" t="inlineStr">
        <is>
          <t>1ml-glass-syringe</t>
        </is>
      </c>
      <c r="B144" s="9" t="inlineStr">
        <is>
          <t>1ml Glass Syringe</t>
        </is>
      </c>
      <c r="C144" s="9" t="inlineStr">
        <is>
          <t>The Oil Slick 1ml Glass Syringe is a precision dosing syringe built for extractors, processors, and serious dabbers who need clean, controlled handling of concentrates. The true 1 ml capacity and secure Luer Lock cap mak…</t>
        </is>
      </c>
      <c r="D144" s="9" t="inlineStr">
        <is>
          <t>Quantity: 1000</t>
        </is>
      </c>
      <c r="E144" s="13" t="inlineStr">
        <is>
          <t>Syringe-1000</t>
        </is>
      </c>
      <c r="F144" s="13" t="inlineStr">
        <is>
          <t>Packaging</t>
        </is>
      </c>
      <c r="G144" s="11" t="n">
        <v>1000</v>
      </c>
      <c r="H144" s="13" t="inlineStr">
        <is>
          <t>pcs</t>
        </is>
      </c>
      <c r="I144" s="10" t="n">
        <v>36.99</v>
      </c>
      <c r="J144" s="10" t="n">
        <v>0.48</v>
      </c>
      <c r="K144" s="12">
        <f>IFERROR(I144/G144,"")</f>
        <v/>
      </c>
      <c r="L144" s="12">
        <f>IFERROR(J144/G144,"")</f>
        <v/>
      </c>
      <c r="M144" s="14">
        <f>IFERROR((I144-J144)/I144,"")</f>
        <v/>
      </c>
      <c r="N144" s="10" t="inlineStr"/>
      <c r="O144" s="11" t="inlineStr"/>
      <c r="P144" s="12">
        <f>IFERROR(N144/O144,"")</f>
        <v/>
      </c>
      <c r="Q144" s="10" t="inlineStr"/>
      <c r="R144" s="11" t="inlineStr"/>
      <c r="S144" s="12">
        <f>IFERROR(Q144/R144,"")</f>
        <v/>
      </c>
      <c r="T144" s="13" t="inlineStr"/>
      <c r="U144" s="9" t="inlineStr"/>
      <c r="V144" s="9" t="inlineStr"/>
      <c r="W144" s="13">
        <f>IF(G144="","",IF(G144&lt;=Assumptions!$B$9,Assumptions!$C$9,IF(G144&lt;=Assumptions!$B$10,Assumptions!$C$10,IF(G144&lt;=Assumptions!$B$11,Assumptions!$C$11,Assumptions!$C$12))))</f>
        <v/>
      </c>
      <c r="X144" s="13">
        <f>IF(F144="Branded",Assumptions!$B$5,IF(OR(F144="Packaging",F144="Bags"),Assumptions!$B$4,1))</f>
        <v/>
      </c>
      <c r="Y144" s="14">
        <f>IFERROR(VLOOKUP(F144,Assumptions!$A$16:$C$20,2,FALSE),0.40)</f>
        <v/>
      </c>
      <c r="Z144" s="14">
        <f>IFERROR(VLOOKUP(F144,Assumptions!$A$16:$C$20,3,FALSE),0.30)</f>
        <v/>
      </c>
      <c r="AA144" s="12">
        <f>IF(P144&lt;&gt;"",P144*X144*W144,IF(L144&lt;&gt;"",L144/(1-Y144),K144))</f>
        <v/>
      </c>
      <c r="AB144" s="12">
        <f>IF(L144&lt;&gt;"",L144/(1-Z144),"")</f>
        <v/>
      </c>
      <c r="AC144" s="12">
        <f>IF(AB144="",AA144,MAX(AA144,AB144))</f>
        <v/>
      </c>
      <c r="AD144" s="10">
        <f>IF(AC144="","",AC144*G144)</f>
        <v/>
      </c>
      <c r="AE144" s="10">
        <f>IF(AD144="","",ROUNDUP(AD144,0)-0.01)</f>
        <v/>
      </c>
      <c r="AF144" s="9">
        <f>IF(P144&lt;&gt;"","Competitor-based",IF(L144&lt;&gt;"","Cost+margin","Needs review"))</f>
        <v/>
      </c>
    </row>
    <row r="145" ht="46" customHeight="1">
      <c r="A145" s="13" t="inlineStr">
        <is>
          <t>1ml-glass-syringe</t>
        </is>
      </c>
      <c r="B145" s="9" t="inlineStr">
        <is>
          <t>1ml Glass Syringe</t>
        </is>
      </c>
      <c r="C145" s="9" t="inlineStr">
        <is>
          <t>The Oil Slick 1ml Glass Syringe is a precision dosing syringe built for extractors, processors, and serious dabbers who need clean, controlled handling of concentrates. The true 1 ml capacity and secure Luer Lock cap mak…</t>
        </is>
      </c>
      <c r="D145" s="9" t="inlineStr">
        <is>
          <t>Quantity: 5000</t>
        </is>
      </c>
      <c r="E145" s="13" t="inlineStr">
        <is>
          <t>Syringe-5000</t>
        </is>
      </c>
      <c r="F145" s="13" t="inlineStr">
        <is>
          <t>Packaging</t>
        </is>
      </c>
      <c r="G145" s="11" t="n">
        <v>5000</v>
      </c>
      <c r="H145" s="13" t="inlineStr">
        <is>
          <t>pcs</t>
        </is>
      </c>
      <c r="I145" s="10" t="n">
        <v>99.98999999999999</v>
      </c>
      <c r="J145" s="10" t="n">
        <v>0.48</v>
      </c>
      <c r="K145" s="12">
        <f>IFERROR(I145/G145,"")</f>
        <v/>
      </c>
      <c r="L145" s="12">
        <f>IFERROR(J145/G145,"")</f>
        <v/>
      </c>
      <c r="M145" s="14">
        <f>IFERROR((I145-J145)/I145,"")</f>
        <v/>
      </c>
      <c r="N145" s="10" t="inlineStr"/>
      <c r="O145" s="11" t="inlineStr"/>
      <c r="P145" s="12">
        <f>IFERROR(N145/O145,"")</f>
        <v/>
      </c>
      <c r="Q145" s="10" t="inlineStr"/>
      <c r="R145" s="11" t="inlineStr"/>
      <c r="S145" s="12">
        <f>IFERROR(Q145/R145,"")</f>
        <v/>
      </c>
      <c r="T145" s="13" t="inlineStr"/>
      <c r="U145" s="9" t="inlineStr"/>
      <c r="V145" s="9" t="inlineStr"/>
      <c r="W145" s="13">
        <f>IF(G145="","",IF(G145&lt;=Assumptions!$B$9,Assumptions!$C$9,IF(G145&lt;=Assumptions!$B$10,Assumptions!$C$10,IF(G145&lt;=Assumptions!$B$11,Assumptions!$C$11,Assumptions!$C$12))))</f>
        <v/>
      </c>
      <c r="X145" s="13">
        <f>IF(F145="Branded",Assumptions!$B$5,IF(OR(F145="Packaging",F145="Bags"),Assumptions!$B$4,1))</f>
        <v/>
      </c>
      <c r="Y145" s="14">
        <f>IFERROR(VLOOKUP(F145,Assumptions!$A$16:$C$20,2,FALSE),0.40)</f>
        <v/>
      </c>
      <c r="Z145" s="14">
        <f>IFERROR(VLOOKUP(F145,Assumptions!$A$16:$C$20,3,FALSE),0.30)</f>
        <v/>
      </c>
      <c r="AA145" s="12">
        <f>IF(P145&lt;&gt;"",P145*X145*W145,IF(L145&lt;&gt;"",L145/(1-Y145),K145))</f>
        <v/>
      </c>
      <c r="AB145" s="12">
        <f>IF(L145&lt;&gt;"",L145/(1-Z145),"")</f>
        <v/>
      </c>
      <c r="AC145" s="12">
        <f>IF(AB145="",AA145,MAX(AA145,AB145))</f>
        <v/>
      </c>
      <c r="AD145" s="10">
        <f>IF(AC145="","",AC145*G145)</f>
        <v/>
      </c>
      <c r="AE145" s="10">
        <f>IF(AD145="","",ROUNDUP(AD145,0)-0.01)</f>
        <v/>
      </c>
      <c r="AF145" s="9">
        <f>IF(P145&lt;&gt;"","Competitor-based",IF(L145&lt;&gt;"","Cost+margin","Needs review"))</f>
        <v/>
      </c>
    </row>
    <row r="146" ht="46" customHeight="1">
      <c r="A146" s="13" t="inlineStr">
        <is>
          <t>copy-of-5ml-child-resistant-jar-with-black-lids</t>
        </is>
      </c>
      <c r="B146" s="9" t="inlineStr">
        <is>
          <t>5ml UV Resistant Heavy Bottom Jar with Child Resistant Black Lids</t>
        </is>
      </c>
      <c r="C146" s="9" t="inlineStr">
        <is>
          <t>The 5ml UV Resistant Heavy Bottom Jar with Child Resistant Black Lid is a professional-grade glass concentrate container designed for extractors, processors, and cannabis brands packaging premium products. The UV-blockin…</t>
        </is>
      </c>
      <c r="D146" s="9" t="inlineStr">
        <is>
          <t>Quantity: 80</t>
        </is>
      </c>
      <c r="E146" s="13" t="inlineStr">
        <is>
          <t>5MLUV-2</t>
        </is>
      </c>
      <c r="F146" s="13" t="inlineStr">
        <is>
          <t>Packaging</t>
        </is>
      </c>
      <c r="G146" s="11" t="n">
        <v>80</v>
      </c>
      <c r="H146" s="13" t="inlineStr">
        <is>
          <t>pcs</t>
        </is>
      </c>
      <c r="I146" s="10" t="n">
        <v>79.98999999999999</v>
      </c>
      <c r="J146" s="10" t="inlineStr"/>
      <c r="K146" s="12">
        <f>IFERROR(I146/G146,"")</f>
        <v/>
      </c>
      <c r="L146" s="12">
        <f>IFERROR(J146/G146,"")</f>
        <v/>
      </c>
      <c r="M146" s="14">
        <f>IFERROR((I146-J146)/I146,"")</f>
        <v/>
      </c>
      <c r="N146" s="10" t="n">
        <v>271.99</v>
      </c>
      <c r="O146" s="11" t="n">
        <v>320</v>
      </c>
      <c r="P146" s="12">
        <f>IFERROR(N146/O146,"")</f>
        <v/>
      </c>
      <c r="Q146" s="10" t="inlineStr"/>
      <c r="R146" s="11" t="inlineStr"/>
      <c r="S146" s="12">
        <f>IFERROR(Q146/R146,"")</f>
        <v/>
      </c>
      <c r="T146" s="13" t="inlineStr">
        <is>
          <t>Observed</t>
        </is>
      </c>
      <c r="U146" s="9" t="inlineStr">
        <is>
          <t>https://truearoma.com/products/5ml-thick-clear-glass-containers-with-black-child-resistant-lids</t>
        </is>
      </c>
      <c r="V146" s="9" t="inlineStr">
        <is>
          <t>5ml thick clear glass containers with black child resistant lids; 320 pack listed at $271.99.</t>
        </is>
      </c>
      <c r="W146" s="13">
        <f>IF(G146="","",IF(G146&lt;=Assumptions!$B$9,Assumptions!$C$9,IF(G146&lt;=Assumptions!$B$10,Assumptions!$C$10,IF(G146&lt;=Assumptions!$B$11,Assumptions!$C$11,Assumptions!$C$12))))</f>
        <v/>
      </c>
      <c r="X146" s="13">
        <f>IF(F146="Branded",Assumptions!$B$5,IF(OR(F146="Packaging",F146="Bags"),Assumptions!$B$4,1))</f>
        <v/>
      </c>
      <c r="Y146" s="14">
        <f>IFERROR(VLOOKUP(F146,Assumptions!$A$16:$C$20,2,FALSE),0.40)</f>
        <v/>
      </c>
      <c r="Z146" s="14">
        <f>IFERROR(VLOOKUP(F146,Assumptions!$A$16:$C$20,3,FALSE),0.30)</f>
        <v/>
      </c>
      <c r="AA146" s="12">
        <f>IF(P146&lt;&gt;"",P146*X146*W146,IF(L146&lt;&gt;"",L146/(1-Y146),K146))</f>
        <v/>
      </c>
      <c r="AB146" s="12">
        <f>IF(L146&lt;&gt;"",L146/(1-Z146),"")</f>
        <v/>
      </c>
      <c r="AC146" s="12">
        <f>IF(AB146="",AA146,MAX(AA146,AB146))</f>
        <v/>
      </c>
      <c r="AD146" s="10">
        <f>IF(AC146="","",AC146*G146)</f>
        <v/>
      </c>
      <c r="AE146" s="10">
        <f>IF(AD146="","",ROUNDUP(AD146,0)-0.01)</f>
        <v/>
      </c>
      <c r="AF146" s="9">
        <f>IF(P146&lt;&gt;"","Competitor-based",IF(L146&lt;&gt;"","Cost+margin","Needs review"))</f>
        <v/>
      </c>
    </row>
    <row r="147" ht="46" customHeight="1">
      <c r="A147" s="13" t="inlineStr">
        <is>
          <t>copy-of-5ml-child-resistant-jar-with-black-lids</t>
        </is>
      </c>
      <c r="B147" s="9" t="inlineStr">
        <is>
          <t>5ml UV Resistant Heavy Bottom Jar with Child Resistant Black Lids</t>
        </is>
      </c>
      <c r="C147" s="9" t="inlineStr">
        <is>
          <t>The 5ml UV Resistant Heavy Bottom Jar with Child Resistant Black Lid is a professional-grade glass concentrate container designed for extractors, processors, and cannabis brands packaging premium products. The UV-blockin…</t>
        </is>
      </c>
      <c r="D147" s="9" t="inlineStr">
        <is>
          <t>Quantity: 160</t>
        </is>
      </c>
      <c r="E147" s="13" t="inlineStr">
        <is>
          <t>5MLUV-3</t>
        </is>
      </c>
      <c r="F147" s="13" t="inlineStr">
        <is>
          <t>Packaging</t>
        </is>
      </c>
      <c r="G147" s="11" t="n">
        <v>160</v>
      </c>
      <c r="H147" s="13" t="inlineStr">
        <is>
          <t>pcs</t>
        </is>
      </c>
      <c r="I147" s="10" t="n">
        <v>89.98999999999999</v>
      </c>
      <c r="J147" s="10" t="inlineStr"/>
      <c r="K147" s="12">
        <f>IFERROR(I147/G147,"")</f>
        <v/>
      </c>
      <c r="L147" s="12">
        <f>IFERROR(J147/G147,"")</f>
        <v/>
      </c>
      <c r="M147" s="14">
        <f>IFERROR((I147-J147)/I147,"")</f>
        <v/>
      </c>
      <c r="N147" s="10" t="n">
        <v>271.99</v>
      </c>
      <c r="O147" s="11" t="n">
        <v>320</v>
      </c>
      <c r="P147" s="12">
        <f>IFERROR(N147/O147,"")</f>
        <v/>
      </c>
      <c r="Q147" s="10" t="inlineStr"/>
      <c r="R147" s="11" t="inlineStr"/>
      <c r="S147" s="12">
        <f>IFERROR(Q147/R147,"")</f>
        <v/>
      </c>
      <c r="T147" s="13" t="inlineStr">
        <is>
          <t>Observed</t>
        </is>
      </c>
      <c r="U147" s="9" t="inlineStr">
        <is>
          <t>https://truearoma.com/products/5ml-thick-clear-glass-containers-with-black-child-resistant-lids</t>
        </is>
      </c>
      <c r="V147" s="9" t="inlineStr">
        <is>
          <t>5ml thick clear glass containers with black child resistant lids; 320 pack listed at $271.99.</t>
        </is>
      </c>
      <c r="W147" s="13">
        <f>IF(G147="","",IF(G147&lt;=Assumptions!$B$9,Assumptions!$C$9,IF(G147&lt;=Assumptions!$B$10,Assumptions!$C$10,IF(G147&lt;=Assumptions!$B$11,Assumptions!$C$11,Assumptions!$C$12))))</f>
        <v/>
      </c>
      <c r="X147" s="13">
        <f>IF(F147="Branded",Assumptions!$B$5,IF(OR(F147="Packaging",F147="Bags"),Assumptions!$B$4,1))</f>
        <v/>
      </c>
      <c r="Y147" s="14">
        <f>IFERROR(VLOOKUP(F147,Assumptions!$A$16:$C$20,2,FALSE),0.40)</f>
        <v/>
      </c>
      <c r="Z147" s="14">
        <f>IFERROR(VLOOKUP(F147,Assumptions!$A$16:$C$20,3,FALSE),0.30)</f>
        <v/>
      </c>
      <c r="AA147" s="12">
        <f>IF(P147&lt;&gt;"",P147*X147*W147,IF(L147&lt;&gt;"",L147/(1-Y147),K147))</f>
        <v/>
      </c>
      <c r="AB147" s="12">
        <f>IF(L147&lt;&gt;"",L147/(1-Z147),"")</f>
        <v/>
      </c>
      <c r="AC147" s="12">
        <f>IF(AB147="",AA147,MAX(AA147,AB147))</f>
        <v/>
      </c>
      <c r="AD147" s="10">
        <f>IF(AC147="","",AC147*G147)</f>
        <v/>
      </c>
      <c r="AE147" s="10">
        <f>IF(AD147="","",ROUNDUP(AD147,0)-0.01)</f>
        <v/>
      </c>
      <c r="AF147" s="9">
        <f>IF(P147&lt;&gt;"","Competitor-based",IF(L147&lt;&gt;"","Cost+margin","Needs review"))</f>
        <v/>
      </c>
    </row>
    <row r="148" ht="46" customHeight="1">
      <c r="A148" s="13" t="inlineStr">
        <is>
          <t>copy-of-5ml-child-resistant-jar-with-black-lids</t>
        </is>
      </c>
      <c r="B148" s="9" t="inlineStr">
        <is>
          <t>5ml UV Resistant Heavy Bottom Jar with Child Resistant Black Lids</t>
        </is>
      </c>
      <c r="C148" s="9" t="inlineStr">
        <is>
          <t>The 5ml UV Resistant Heavy Bottom Jar with Child Resistant Black Lid is a professional-grade glass concentrate container designed for extractors, processors, and cannabis brands packaging premium products. The UV-blockin…</t>
        </is>
      </c>
      <c r="D148" s="9" t="inlineStr">
        <is>
          <t>Quantity: 320</t>
        </is>
      </c>
      <c r="E148" s="13" t="inlineStr">
        <is>
          <t>5MLUV-4</t>
        </is>
      </c>
      <c r="F148" s="13" t="inlineStr">
        <is>
          <t>Packaging</t>
        </is>
      </c>
      <c r="G148" s="11" t="n">
        <v>320</v>
      </c>
      <c r="H148" s="13" t="inlineStr">
        <is>
          <t>pcs</t>
        </is>
      </c>
      <c r="I148" s="10" t="n">
        <v>129.99</v>
      </c>
      <c r="J148" s="10" t="inlineStr"/>
      <c r="K148" s="12">
        <f>IFERROR(I148/G148,"")</f>
        <v/>
      </c>
      <c r="L148" s="12">
        <f>IFERROR(J148/G148,"")</f>
        <v/>
      </c>
      <c r="M148" s="14">
        <f>IFERROR((I148-J148)/I148,"")</f>
        <v/>
      </c>
      <c r="N148" s="10" t="n">
        <v>271.99</v>
      </c>
      <c r="O148" s="11" t="n">
        <v>320</v>
      </c>
      <c r="P148" s="12">
        <f>IFERROR(N148/O148,"")</f>
        <v/>
      </c>
      <c r="Q148" s="10" t="inlineStr"/>
      <c r="R148" s="11" t="inlineStr"/>
      <c r="S148" s="12">
        <f>IFERROR(Q148/R148,"")</f>
        <v/>
      </c>
      <c r="T148" s="13" t="inlineStr">
        <is>
          <t>Observed</t>
        </is>
      </c>
      <c r="U148" s="9" t="inlineStr">
        <is>
          <t>https://truearoma.com/products/5ml-thick-clear-glass-containers-with-black-child-resistant-lids</t>
        </is>
      </c>
      <c r="V148" s="9" t="inlineStr">
        <is>
          <t>5ml thick clear glass containers with black child resistant lids; 320 pack listed at $271.99.</t>
        </is>
      </c>
      <c r="W148" s="13">
        <f>IF(G148="","",IF(G148&lt;=Assumptions!$B$9,Assumptions!$C$9,IF(G148&lt;=Assumptions!$B$10,Assumptions!$C$10,IF(G148&lt;=Assumptions!$B$11,Assumptions!$C$11,Assumptions!$C$12))))</f>
        <v/>
      </c>
      <c r="X148" s="13">
        <f>IF(F148="Branded",Assumptions!$B$5,IF(OR(F148="Packaging",F148="Bags"),Assumptions!$B$4,1))</f>
        <v/>
      </c>
      <c r="Y148" s="14">
        <f>IFERROR(VLOOKUP(F148,Assumptions!$A$16:$C$20,2,FALSE),0.40)</f>
        <v/>
      </c>
      <c r="Z148" s="14">
        <f>IFERROR(VLOOKUP(F148,Assumptions!$A$16:$C$20,3,FALSE),0.30)</f>
        <v/>
      </c>
      <c r="AA148" s="12">
        <f>IF(P148&lt;&gt;"",P148*X148*W148,IF(L148&lt;&gt;"",L148/(1-Y148),K148))</f>
        <v/>
      </c>
      <c r="AB148" s="12">
        <f>IF(L148&lt;&gt;"",L148/(1-Z148),"")</f>
        <v/>
      </c>
      <c r="AC148" s="12">
        <f>IF(AB148="",AA148,MAX(AA148,AB148))</f>
        <v/>
      </c>
      <c r="AD148" s="10">
        <f>IF(AC148="","",AC148*G148)</f>
        <v/>
      </c>
      <c r="AE148" s="10">
        <f>IF(AD148="","",ROUNDUP(AD148,0)-0.01)</f>
        <v/>
      </c>
      <c r="AF148" s="9">
        <f>IF(P148&lt;&gt;"","Competitor-based",IF(L148&lt;&gt;"","Cost+margin","Needs review"))</f>
        <v/>
      </c>
    </row>
    <row r="149" ht="46" customHeight="1">
      <c r="A149" s="13" t="inlineStr">
        <is>
          <t>5ml-round-bottom-child-resistant-jar-with-black-lids</t>
        </is>
      </c>
      <c r="B149" s="9" t="inlineStr">
        <is>
          <t>5ml Heavy Bottom Child Resistant Jar with Black Lids</t>
        </is>
      </c>
      <c r="C149" s="9" t="inlineStr">
        <is>
          <t>The 5ml Heavy Bottom Child Resistant Jar with Black Lids is a compact glass container designed for extractors, processors, and cannabis brands packaging single grams or small concentrate samples. The thick base prevents …</t>
        </is>
      </c>
      <c r="D149" s="9" t="inlineStr">
        <is>
          <t>Quantity: 80</t>
        </is>
      </c>
      <c r="E149" s="13" t="inlineStr">
        <is>
          <t>5mlr - 80</t>
        </is>
      </c>
      <c r="F149" s="13" t="inlineStr">
        <is>
          <t>Packaging</t>
        </is>
      </c>
      <c r="G149" s="11" t="n">
        <v>80</v>
      </c>
      <c r="H149" s="13" t="inlineStr">
        <is>
          <t>pcs</t>
        </is>
      </c>
      <c r="I149" s="10" t="n">
        <v>89.98999999999999</v>
      </c>
      <c r="J149" s="10" t="inlineStr"/>
      <c r="K149" s="12">
        <f>IFERROR(I149/G149,"")</f>
        <v/>
      </c>
      <c r="L149" s="12">
        <f>IFERROR(J149/G149,"")</f>
        <v/>
      </c>
      <c r="M149" s="14">
        <f>IFERROR((I149-J149)/I149,"")</f>
        <v/>
      </c>
      <c r="N149" s="10" t="n">
        <v>271.99</v>
      </c>
      <c r="O149" s="11" t="n">
        <v>320</v>
      </c>
      <c r="P149" s="12">
        <f>IFERROR(N149/O149,"")</f>
        <v/>
      </c>
      <c r="Q149" s="10" t="inlineStr"/>
      <c r="R149" s="11" t="inlineStr"/>
      <c r="S149" s="12">
        <f>IFERROR(Q149/R149,"")</f>
        <v/>
      </c>
      <c r="T149" s="13" t="inlineStr">
        <is>
          <t>Observed</t>
        </is>
      </c>
      <c r="U149" s="9" t="inlineStr">
        <is>
          <t>https://truearoma.com/products/5ml-thick-clear-glass-containers-with-black-child-resistant-lids</t>
        </is>
      </c>
      <c r="V149" s="9" t="inlineStr">
        <is>
          <t>5ml thick clear glass containers with black child resistant lids; 320 pack listed at $271.99.</t>
        </is>
      </c>
      <c r="W149" s="13">
        <f>IF(G149="","",IF(G149&lt;=Assumptions!$B$9,Assumptions!$C$9,IF(G149&lt;=Assumptions!$B$10,Assumptions!$C$10,IF(G149&lt;=Assumptions!$B$11,Assumptions!$C$11,Assumptions!$C$12))))</f>
        <v/>
      </c>
      <c r="X149" s="13">
        <f>IF(F149="Branded",Assumptions!$B$5,IF(OR(F149="Packaging",F149="Bags"),Assumptions!$B$4,1))</f>
        <v/>
      </c>
      <c r="Y149" s="14">
        <f>IFERROR(VLOOKUP(F149,Assumptions!$A$16:$C$20,2,FALSE),0.40)</f>
        <v/>
      </c>
      <c r="Z149" s="14">
        <f>IFERROR(VLOOKUP(F149,Assumptions!$A$16:$C$20,3,FALSE),0.30)</f>
        <v/>
      </c>
      <c r="AA149" s="12">
        <f>IF(P149&lt;&gt;"",P149*X149*W149,IF(L149&lt;&gt;"",L149/(1-Y149),K149))</f>
        <v/>
      </c>
      <c r="AB149" s="12">
        <f>IF(L149&lt;&gt;"",L149/(1-Z149),"")</f>
        <v/>
      </c>
      <c r="AC149" s="12">
        <f>IF(AB149="",AA149,MAX(AA149,AB149))</f>
        <v/>
      </c>
      <c r="AD149" s="10">
        <f>IF(AC149="","",AC149*G149)</f>
        <v/>
      </c>
      <c r="AE149" s="10">
        <f>IF(AD149="","",ROUNDUP(AD149,0)-0.01)</f>
        <v/>
      </c>
      <c r="AF149" s="9">
        <f>IF(P149&lt;&gt;"","Competitor-based",IF(L149&lt;&gt;"","Cost+margin","Needs review"))</f>
        <v/>
      </c>
    </row>
    <row r="150" ht="46" customHeight="1">
      <c r="A150" s="13" t="inlineStr">
        <is>
          <t>5ml-round-bottom-child-resistant-jar-with-black-lids</t>
        </is>
      </c>
      <c r="B150" s="9" t="inlineStr">
        <is>
          <t>5ml Heavy Bottom Child Resistant Jar with Black Lids</t>
        </is>
      </c>
      <c r="C150" s="9" t="inlineStr">
        <is>
          <t>The 5ml Heavy Bottom Child Resistant Jar with Black Lids is a compact glass container designed for extractors, processors, and cannabis brands packaging single grams or small concentrate samples. The thick base prevents …</t>
        </is>
      </c>
      <c r="D150" s="9" t="inlineStr">
        <is>
          <t>Quantity: 160</t>
        </is>
      </c>
      <c r="E150" s="13" t="inlineStr">
        <is>
          <t>5mlr - 160</t>
        </is>
      </c>
      <c r="F150" s="13" t="inlineStr">
        <is>
          <t>Packaging</t>
        </is>
      </c>
      <c r="G150" s="11" t="n">
        <v>160</v>
      </c>
      <c r="H150" s="13" t="inlineStr">
        <is>
          <t>pcs</t>
        </is>
      </c>
      <c r="I150" s="10" t="n">
        <v>89.98999999999999</v>
      </c>
      <c r="J150" s="10" t="inlineStr"/>
      <c r="K150" s="12">
        <f>IFERROR(I150/G150,"")</f>
        <v/>
      </c>
      <c r="L150" s="12">
        <f>IFERROR(J150/G150,"")</f>
        <v/>
      </c>
      <c r="M150" s="14">
        <f>IFERROR((I150-J150)/I150,"")</f>
        <v/>
      </c>
      <c r="N150" s="10" t="n">
        <v>271.99</v>
      </c>
      <c r="O150" s="11" t="n">
        <v>320</v>
      </c>
      <c r="P150" s="12">
        <f>IFERROR(N150/O150,"")</f>
        <v/>
      </c>
      <c r="Q150" s="10" t="inlineStr"/>
      <c r="R150" s="11" t="inlineStr"/>
      <c r="S150" s="12">
        <f>IFERROR(Q150/R150,"")</f>
        <v/>
      </c>
      <c r="T150" s="13" t="inlineStr">
        <is>
          <t>Observed</t>
        </is>
      </c>
      <c r="U150" s="9" t="inlineStr">
        <is>
          <t>https://truearoma.com/products/5ml-thick-clear-glass-containers-with-black-child-resistant-lids</t>
        </is>
      </c>
      <c r="V150" s="9" t="inlineStr">
        <is>
          <t>5ml thick clear glass containers with black child resistant lids; 320 pack listed at $271.99.</t>
        </is>
      </c>
      <c r="W150" s="13">
        <f>IF(G150="","",IF(G150&lt;=Assumptions!$B$9,Assumptions!$C$9,IF(G150&lt;=Assumptions!$B$10,Assumptions!$C$10,IF(G150&lt;=Assumptions!$B$11,Assumptions!$C$11,Assumptions!$C$12))))</f>
        <v/>
      </c>
      <c r="X150" s="13">
        <f>IF(F150="Branded",Assumptions!$B$5,IF(OR(F150="Packaging",F150="Bags"),Assumptions!$B$4,1))</f>
        <v/>
      </c>
      <c r="Y150" s="14">
        <f>IFERROR(VLOOKUP(F150,Assumptions!$A$16:$C$20,2,FALSE),0.40)</f>
        <v/>
      </c>
      <c r="Z150" s="14">
        <f>IFERROR(VLOOKUP(F150,Assumptions!$A$16:$C$20,3,FALSE),0.30)</f>
        <v/>
      </c>
      <c r="AA150" s="12">
        <f>IF(P150&lt;&gt;"",P150*X150*W150,IF(L150&lt;&gt;"",L150/(1-Y150),K150))</f>
        <v/>
      </c>
      <c r="AB150" s="12">
        <f>IF(L150&lt;&gt;"",L150/(1-Z150),"")</f>
        <v/>
      </c>
      <c r="AC150" s="12">
        <f>IF(AB150="",AA150,MAX(AA150,AB150))</f>
        <v/>
      </c>
      <c r="AD150" s="10">
        <f>IF(AC150="","",AC150*G150)</f>
        <v/>
      </c>
      <c r="AE150" s="10">
        <f>IF(AD150="","",ROUNDUP(AD150,0)-0.01)</f>
        <v/>
      </c>
      <c r="AF150" s="9">
        <f>IF(P150&lt;&gt;"","Competitor-based",IF(L150&lt;&gt;"","Cost+margin","Needs review"))</f>
        <v/>
      </c>
    </row>
    <row r="151" ht="46" customHeight="1">
      <c r="A151" s="13" t="inlineStr">
        <is>
          <t>5ml-round-bottom-child-resistant-jar-with-black-lids</t>
        </is>
      </c>
      <c r="B151" s="9" t="inlineStr">
        <is>
          <t>5ml Heavy Bottom Child Resistant Jar with Black Lids</t>
        </is>
      </c>
      <c r="C151" s="9" t="inlineStr">
        <is>
          <t>The 5ml Heavy Bottom Child Resistant Jar with Black Lids is a compact glass container designed for extractors, processors, and cannabis brands packaging single grams or small concentrate samples. The thick base prevents …</t>
        </is>
      </c>
      <c r="D151" s="9" t="inlineStr">
        <is>
          <t>Quantity: 320</t>
        </is>
      </c>
      <c r="E151" s="13" t="inlineStr">
        <is>
          <t>5mlr - 320</t>
        </is>
      </c>
      <c r="F151" s="13" t="inlineStr">
        <is>
          <t>Packaging</t>
        </is>
      </c>
      <c r="G151" s="11" t="n">
        <v>320</v>
      </c>
      <c r="H151" s="13" t="inlineStr">
        <is>
          <t>pcs</t>
        </is>
      </c>
      <c r="I151" s="10" t="n">
        <v>129.99</v>
      </c>
      <c r="J151" s="10" t="inlineStr"/>
      <c r="K151" s="12">
        <f>IFERROR(I151/G151,"")</f>
        <v/>
      </c>
      <c r="L151" s="12">
        <f>IFERROR(J151/G151,"")</f>
        <v/>
      </c>
      <c r="M151" s="14">
        <f>IFERROR((I151-J151)/I151,"")</f>
        <v/>
      </c>
      <c r="N151" s="10" t="n">
        <v>271.99</v>
      </c>
      <c r="O151" s="11" t="n">
        <v>320</v>
      </c>
      <c r="P151" s="12">
        <f>IFERROR(N151/O151,"")</f>
        <v/>
      </c>
      <c r="Q151" s="10" t="inlineStr"/>
      <c r="R151" s="11" t="inlineStr"/>
      <c r="S151" s="12">
        <f>IFERROR(Q151/R151,"")</f>
        <v/>
      </c>
      <c r="T151" s="13" t="inlineStr">
        <is>
          <t>Observed</t>
        </is>
      </c>
      <c r="U151" s="9" t="inlineStr">
        <is>
          <t>https://truearoma.com/products/5ml-thick-clear-glass-containers-with-black-child-resistant-lids</t>
        </is>
      </c>
      <c r="V151" s="9" t="inlineStr">
        <is>
          <t>5ml thick clear glass containers with black child resistant lids; 320 pack listed at $271.99.</t>
        </is>
      </c>
      <c r="W151" s="13">
        <f>IF(G151="","",IF(G151&lt;=Assumptions!$B$9,Assumptions!$C$9,IF(G151&lt;=Assumptions!$B$10,Assumptions!$C$10,IF(G151&lt;=Assumptions!$B$11,Assumptions!$C$11,Assumptions!$C$12))))</f>
        <v/>
      </c>
      <c r="X151" s="13">
        <f>IF(F151="Branded",Assumptions!$B$5,IF(OR(F151="Packaging",F151="Bags"),Assumptions!$B$4,1))</f>
        <v/>
      </c>
      <c r="Y151" s="14">
        <f>IFERROR(VLOOKUP(F151,Assumptions!$A$16:$C$20,2,FALSE),0.40)</f>
        <v/>
      </c>
      <c r="Z151" s="14">
        <f>IFERROR(VLOOKUP(F151,Assumptions!$A$16:$C$20,3,FALSE),0.30)</f>
        <v/>
      </c>
      <c r="AA151" s="12">
        <f>IF(P151&lt;&gt;"",P151*X151*W151,IF(L151&lt;&gt;"",L151/(1-Y151),K151))</f>
        <v/>
      </c>
      <c r="AB151" s="12">
        <f>IF(L151&lt;&gt;"",L151/(1-Z151),"")</f>
        <v/>
      </c>
      <c r="AC151" s="12">
        <f>IF(AB151="",AA151,MAX(AA151,AB151))</f>
        <v/>
      </c>
      <c r="AD151" s="10">
        <f>IF(AC151="","",AC151*G151)</f>
        <v/>
      </c>
      <c r="AE151" s="10">
        <f>IF(AD151="","",ROUNDUP(AD151,0)-0.01)</f>
        <v/>
      </c>
      <c r="AF151" s="9">
        <f>IF(P151&lt;&gt;"","Competitor-based",IF(L151&lt;&gt;"","Cost+margin","Needs review"))</f>
        <v/>
      </c>
    </row>
    <row r="152" ht="46" customHeight="1">
      <c r="A152" s="13" t="inlineStr">
        <is>
          <t>5ml-round-bottom-child-resistant-jar-with-black-lids</t>
        </is>
      </c>
      <c r="B152" s="9" t="inlineStr">
        <is>
          <t>5ml Heavy Bottom Child Resistant Jar with Black Lids</t>
        </is>
      </c>
      <c r="C152" s="9" t="inlineStr">
        <is>
          <t>The 5ml Heavy Bottom Child Resistant Jar with Black Lids is a compact glass container designed for extractors, processors, and cannabis brands packaging single grams or small concentrate samples. The thick base prevents …</t>
        </is>
      </c>
      <c r="D152" s="9" t="inlineStr">
        <is>
          <t>Quantity: 400</t>
        </is>
      </c>
      <c r="E152" s="13" t="inlineStr">
        <is>
          <t>5mlr - 400</t>
        </is>
      </c>
      <c r="F152" s="13" t="inlineStr">
        <is>
          <t>Packaging</t>
        </is>
      </c>
      <c r="G152" s="11" t="n">
        <v>400</v>
      </c>
      <c r="H152" s="13" t="inlineStr">
        <is>
          <t>pcs</t>
        </is>
      </c>
      <c r="I152" s="10" t="n">
        <v>119.99</v>
      </c>
      <c r="J152" s="10" t="inlineStr"/>
      <c r="K152" s="12">
        <f>IFERROR(I152/G152,"")</f>
        <v/>
      </c>
      <c r="L152" s="12">
        <f>IFERROR(J152/G152,"")</f>
        <v/>
      </c>
      <c r="M152" s="14">
        <f>IFERROR((I152-J152)/I152,"")</f>
        <v/>
      </c>
      <c r="N152" s="10" t="n">
        <v>271.99</v>
      </c>
      <c r="O152" s="11" t="n">
        <v>320</v>
      </c>
      <c r="P152" s="12">
        <f>IFERROR(N152/O152,"")</f>
        <v/>
      </c>
      <c r="Q152" s="10" t="inlineStr"/>
      <c r="R152" s="11" t="inlineStr"/>
      <c r="S152" s="12">
        <f>IFERROR(Q152/R152,"")</f>
        <v/>
      </c>
      <c r="T152" s="13" t="inlineStr">
        <is>
          <t>Observed</t>
        </is>
      </c>
      <c r="U152" s="9" t="inlineStr">
        <is>
          <t>https://truearoma.com/products/5ml-thick-clear-glass-containers-with-black-child-resistant-lids</t>
        </is>
      </c>
      <c r="V152" s="9" t="inlineStr">
        <is>
          <t>5ml thick clear glass containers with black child resistant lids; 320 pack listed at $271.99.</t>
        </is>
      </c>
      <c r="W152" s="13">
        <f>IF(G152="","",IF(G152&lt;=Assumptions!$B$9,Assumptions!$C$9,IF(G152&lt;=Assumptions!$B$10,Assumptions!$C$10,IF(G152&lt;=Assumptions!$B$11,Assumptions!$C$11,Assumptions!$C$12))))</f>
        <v/>
      </c>
      <c r="X152" s="13">
        <f>IF(F152="Branded",Assumptions!$B$5,IF(OR(F152="Packaging",F152="Bags"),Assumptions!$B$4,1))</f>
        <v/>
      </c>
      <c r="Y152" s="14">
        <f>IFERROR(VLOOKUP(F152,Assumptions!$A$16:$C$20,2,FALSE),0.40)</f>
        <v/>
      </c>
      <c r="Z152" s="14">
        <f>IFERROR(VLOOKUP(F152,Assumptions!$A$16:$C$20,3,FALSE),0.30)</f>
        <v/>
      </c>
      <c r="AA152" s="12">
        <f>IF(P152&lt;&gt;"",P152*X152*W152,IF(L152&lt;&gt;"",L152/(1-Y152),K152))</f>
        <v/>
      </c>
      <c r="AB152" s="12">
        <f>IF(L152&lt;&gt;"",L152/(1-Z152),"")</f>
        <v/>
      </c>
      <c r="AC152" s="12">
        <f>IF(AB152="",AA152,MAX(AA152,AB152))</f>
        <v/>
      </c>
      <c r="AD152" s="10">
        <f>IF(AC152="","",AC152*G152)</f>
        <v/>
      </c>
      <c r="AE152" s="10">
        <f>IF(AD152="","",ROUNDUP(AD152,0)-0.01)</f>
        <v/>
      </c>
      <c r="AF152" s="9">
        <f>IF(P152&lt;&gt;"","Competitor-based",IF(L152&lt;&gt;"","Cost+margin","Needs review"))</f>
        <v/>
      </c>
    </row>
    <row r="153" ht="46" customHeight="1">
      <c r="A153" s="13" t="inlineStr">
        <is>
          <t>5oz-glass-jar-with-black-cr-lid</t>
        </is>
      </c>
      <c r="B153" s="9" t="inlineStr">
        <is>
          <t>5 oz Glass Jar with Black CR Lid</t>
        </is>
      </c>
      <c r="C153" s="9" t="inlineStr">
        <is>
          <t>The 5 oz Glass Jar with Black CR Lid is a heavy-duty glass container built for extractors, labs, and brands who need child-resistant storage that still looks clean on the shelf. With a true 5 oz (148ml) capacity and smoo…</t>
        </is>
      </c>
      <c r="D153" s="9" t="inlineStr">
        <is>
          <t>Quantity: 50</t>
        </is>
      </c>
      <c r="E153" s="13" t="inlineStr">
        <is>
          <t>5OZ - 50</t>
        </is>
      </c>
      <c r="F153" s="13" t="inlineStr">
        <is>
          <t>Packaging</t>
        </is>
      </c>
      <c r="G153" s="11" t="n">
        <v>50</v>
      </c>
      <c r="H153" s="13" t="inlineStr">
        <is>
          <t>pcs</t>
        </is>
      </c>
      <c r="I153" s="10" t="n">
        <v>32.99</v>
      </c>
      <c r="J153" s="10" t="inlineStr"/>
      <c r="K153" s="12">
        <f>IFERROR(I153/G153,"")</f>
        <v/>
      </c>
      <c r="L153" s="12">
        <f>IFERROR(J153/G153,"")</f>
        <v/>
      </c>
      <c r="M153" s="14">
        <f>IFERROR((I153-J153)/I153,"")</f>
        <v/>
      </c>
      <c r="N153" s="10" t="n">
        <v>64</v>
      </c>
      <c r="O153" s="11" t="n">
        <v>100</v>
      </c>
      <c r="P153" s="12">
        <f>IFERROR(N153/O153,"")</f>
        <v/>
      </c>
      <c r="Q153" s="10" t="inlineStr"/>
      <c r="R153" s="11" t="inlineStr"/>
      <c r="S153" s="12">
        <f>IFERROR(Q153/R153,"")</f>
        <v/>
      </c>
      <c r="T153" s="13" t="inlineStr">
        <is>
          <t>Observed</t>
        </is>
      </c>
      <c r="U153" s="9" t="inlineStr">
        <is>
          <t>https://www.innovativesourcing.com/products/5oz-glass-jars-with-black-cr-lid</t>
        </is>
      </c>
      <c r="V153" s="9" t="inlineStr">
        <is>
          <t>5oz glass jar with black CR lid; 100 count case price $64 (unit $0.64).</t>
        </is>
      </c>
      <c r="W153" s="13">
        <f>IF(G153="","",IF(G153&lt;=Assumptions!$B$9,Assumptions!$C$9,IF(G153&lt;=Assumptions!$B$10,Assumptions!$C$10,IF(G153&lt;=Assumptions!$B$11,Assumptions!$C$11,Assumptions!$C$12))))</f>
        <v/>
      </c>
      <c r="X153" s="13">
        <f>IF(F153="Branded",Assumptions!$B$5,IF(OR(F153="Packaging",F153="Bags"),Assumptions!$B$4,1))</f>
        <v/>
      </c>
      <c r="Y153" s="14">
        <f>IFERROR(VLOOKUP(F153,Assumptions!$A$16:$C$20,2,FALSE),0.40)</f>
        <v/>
      </c>
      <c r="Z153" s="14">
        <f>IFERROR(VLOOKUP(F153,Assumptions!$A$16:$C$20,3,FALSE),0.30)</f>
        <v/>
      </c>
      <c r="AA153" s="12">
        <f>IF(P153&lt;&gt;"",P153*X153*W153,IF(L153&lt;&gt;"",L153/(1-Y153),K153))</f>
        <v/>
      </c>
      <c r="AB153" s="12">
        <f>IF(L153&lt;&gt;"",L153/(1-Z153),"")</f>
        <v/>
      </c>
      <c r="AC153" s="12">
        <f>IF(AB153="",AA153,MAX(AA153,AB153))</f>
        <v/>
      </c>
      <c r="AD153" s="10">
        <f>IF(AC153="","",AC153*G153)</f>
        <v/>
      </c>
      <c r="AE153" s="10">
        <f>IF(AD153="","",ROUNDUP(AD153,0)-0.01)</f>
        <v/>
      </c>
      <c r="AF153" s="9">
        <f>IF(P153&lt;&gt;"","Competitor-based",IF(L153&lt;&gt;"","Cost+margin","Needs review"))</f>
        <v/>
      </c>
    </row>
    <row r="154" ht="46" customHeight="1">
      <c r="A154" s="13" t="inlineStr">
        <is>
          <t>5oz-glass-jar-with-black-cr-lid</t>
        </is>
      </c>
      <c r="B154" s="9" t="inlineStr">
        <is>
          <t>5 oz Glass Jar with Black CR Lid</t>
        </is>
      </c>
      <c r="C154" s="9" t="inlineStr">
        <is>
          <t>The 5 oz Glass Jar with Black CR Lid is a heavy-duty glass container built for extractors, labs, and brands who need child-resistant storage that still looks clean on the shelf. With a true 5 oz (148ml) capacity and smoo…</t>
        </is>
      </c>
      <c r="D154" s="9" t="inlineStr">
        <is>
          <t>Quantity: 100</t>
        </is>
      </c>
      <c r="E154" s="13" t="inlineStr">
        <is>
          <t>5OZ - 100</t>
        </is>
      </c>
      <c r="F154" s="13" t="inlineStr">
        <is>
          <t>Packaging</t>
        </is>
      </c>
      <c r="G154" s="11" t="n">
        <v>100</v>
      </c>
      <c r="H154" s="13" t="inlineStr">
        <is>
          <t>pcs</t>
        </is>
      </c>
      <c r="I154" s="10" t="n">
        <v>34.99</v>
      </c>
      <c r="J154" s="10" t="inlineStr"/>
      <c r="K154" s="12">
        <f>IFERROR(I154/G154,"")</f>
        <v/>
      </c>
      <c r="L154" s="12">
        <f>IFERROR(J154/G154,"")</f>
        <v/>
      </c>
      <c r="M154" s="14">
        <f>IFERROR((I154-J154)/I154,"")</f>
        <v/>
      </c>
      <c r="N154" s="10" t="n">
        <v>64</v>
      </c>
      <c r="O154" s="11" t="n">
        <v>100</v>
      </c>
      <c r="P154" s="12">
        <f>IFERROR(N154/O154,"")</f>
        <v/>
      </c>
      <c r="Q154" s="10" t="inlineStr"/>
      <c r="R154" s="11" t="inlineStr"/>
      <c r="S154" s="12">
        <f>IFERROR(Q154/R154,"")</f>
        <v/>
      </c>
      <c r="T154" s="13" t="inlineStr">
        <is>
          <t>Observed</t>
        </is>
      </c>
      <c r="U154" s="9" t="inlineStr">
        <is>
          <t>https://www.innovativesourcing.com/products/5oz-glass-jars-with-black-cr-lid</t>
        </is>
      </c>
      <c r="V154" s="9" t="inlineStr">
        <is>
          <t>5oz glass jar with black CR lid; 100 count case price $64 (unit $0.64).</t>
        </is>
      </c>
      <c r="W154" s="13">
        <f>IF(G154="","",IF(G154&lt;=Assumptions!$B$9,Assumptions!$C$9,IF(G154&lt;=Assumptions!$B$10,Assumptions!$C$10,IF(G154&lt;=Assumptions!$B$11,Assumptions!$C$11,Assumptions!$C$12))))</f>
        <v/>
      </c>
      <c r="X154" s="13">
        <f>IF(F154="Branded",Assumptions!$B$5,IF(OR(F154="Packaging",F154="Bags"),Assumptions!$B$4,1))</f>
        <v/>
      </c>
      <c r="Y154" s="14">
        <f>IFERROR(VLOOKUP(F154,Assumptions!$A$16:$C$20,2,FALSE),0.40)</f>
        <v/>
      </c>
      <c r="Z154" s="14">
        <f>IFERROR(VLOOKUP(F154,Assumptions!$A$16:$C$20,3,FALSE),0.30)</f>
        <v/>
      </c>
      <c r="AA154" s="12">
        <f>IF(P154&lt;&gt;"",P154*X154*W154,IF(L154&lt;&gt;"",L154/(1-Y154),K154))</f>
        <v/>
      </c>
      <c r="AB154" s="12">
        <f>IF(L154&lt;&gt;"",L154/(1-Z154),"")</f>
        <v/>
      </c>
      <c r="AC154" s="12">
        <f>IF(AB154="",AA154,MAX(AA154,AB154))</f>
        <v/>
      </c>
      <c r="AD154" s="10">
        <f>IF(AC154="","",AC154*G154)</f>
        <v/>
      </c>
      <c r="AE154" s="10">
        <f>IF(AD154="","",ROUNDUP(AD154,0)-0.01)</f>
        <v/>
      </c>
      <c r="AF154" s="9">
        <f>IF(P154&lt;&gt;"","Competitor-based",IF(L154&lt;&gt;"","Cost+margin","Needs review"))</f>
        <v/>
      </c>
    </row>
    <row r="155" ht="46" customHeight="1">
      <c r="A155" s="13" t="inlineStr">
        <is>
          <t>5oz-glass-jar-with-black-cr-lid</t>
        </is>
      </c>
      <c r="B155" s="9" t="inlineStr">
        <is>
          <t>5 oz Glass Jar with Black CR Lid</t>
        </is>
      </c>
      <c r="C155" s="9" t="inlineStr">
        <is>
          <t>The 5 oz Glass Jar with Black CR Lid is a heavy-duty glass container built for extractors, labs, and brands who need child-resistant storage that still looks clean on the shelf. With a true 5 oz (148ml) capacity and smoo…</t>
        </is>
      </c>
      <c r="D155" s="9" t="inlineStr">
        <is>
          <t>Quantity: 500</t>
        </is>
      </c>
      <c r="E155" s="13" t="inlineStr">
        <is>
          <t>5OZ - 500</t>
        </is>
      </c>
      <c r="F155" s="13" t="inlineStr">
        <is>
          <t>Packaging</t>
        </is>
      </c>
      <c r="G155" s="11" t="n">
        <v>500</v>
      </c>
      <c r="H155" s="13" t="inlineStr">
        <is>
          <t>pcs</t>
        </is>
      </c>
      <c r="I155" s="10" t="n">
        <v>29.99</v>
      </c>
      <c r="J155" s="10" t="inlineStr"/>
      <c r="K155" s="12">
        <f>IFERROR(I155/G155,"")</f>
        <v/>
      </c>
      <c r="L155" s="12">
        <f>IFERROR(J155/G155,"")</f>
        <v/>
      </c>
      <c r="M155" s="14">
        <f>IFERROR((I155-J155)/I155,"")</f>
        <v/>
      </c>
      <c r="N155" s="10" t="n">
        <v>64</v>
      </c>
      <c r="O155" s="11" t="n">
        <v>100</v>
      </c>
      <c r="P155" s="12">
        <f>IFERROR(N155/O155,"")</f>
        <v/>
      </c>
      <c r="Q155" s="10" t="inlineStr"/>
      <c r="R155" s="11" t="inlineStr"/>
      <c r="S155" s="12">
        <f>IFERROR(Q155/R155,"")</f>
        <v/>
      </c>
      <c r="T155" s="13" t="inlineStr">
        <is>
          <t>Observed</t>
        </is>
      </c>
      <c r="U155" s="9" t="inlineStr">
        <is>
          <t>https://www.innovativesourcing.com/products/5oz-glass-jars-with-black-cr-lid</t>
        </is>
      </c>
      <c r="V155" s="9" t="inlineStr">
        <is>
          <t>5oz glass jar with black CR lid; 100 count case price $64 (unit $0.64).</t>
        </is>
      </c>
      <c r="W155" s="13">
        <f>IF(G155="","",IF(G155&lt;=Assumptions!$B$9,Assumptions!$C$9,IF(G155&lt;=Assumptions!$B$10,Assumptions!$C$10,IF(G155&lt;=Assumptions!$B$11,Assumptions!$C$11,Assumptions!$C$12))))</f>
        <v/>
      </c>
      <c r="X155" s="13">
        <f>IF(F155="Branded",Assumptions!$B$5,IF(OR(F155="Packaging",F155="Bags"),Assumptions!$B$4,1))</f>
        <v/>
      </c>
      <c r="Y155" s="14">
        <f>IFERROR(VLOOKUP(F155,Assumptions!$A$16:$C$20,2,FALSE),0.40)</f>
        <v/>
      </c>
      <c r="Z155" s="14">
        <f>IFERROR(VLOOKUP(F155,Assumptions!$A$16:$C$20,3,FALSE),0.30)</f>
        <v/>
      </c>
      <c r="AA155" s="12">
        <f>IF(P155&lt;&gt;"",P155*X155*W155,IF(L155&lt;&gt;"",L155/(1-Y155),K155))</f>
        <v/>
      </c>
      <c r="AB155" s="12">
        <f>IF(L155&lt;&gt;"",L155/(1-Z155),"")</f>
        <v/>
      </c>
      <c r="AC155" s="12">
        <f>IF(AB155="",AA155,MAX(AA155,AB155))</f>
        <v/>
      </c>
      <c r="AD155" s="10">
        <f>IF(AC155="","",AC155*G155)</f>
        <v/>
      </c>
      <c r="AE155" s="10">
        <f>IF(AD155="","",ROUNDUP(AD155,0)-0.01)</f>
        <v/>
      </c>
      <c r="AF155" s="9">
        <f>IF(P155&lt;&gt;"","Competitor-based",IF(L155&lt;&gt;"","Cost+margin","Needs review"))</f>
        <v/>
      </c>
    </row>
    <row r="156" ht="46" customHeight="1">
      <c r="A156" s="13" t="inlineStr">
        <is>
          <t>5oz-glass-jar-with-black-cr-lid</t>
        </is>
      </c>
      <c r="B156" s="9" t="inlineStr">
        <is>
          <t>5 oz Glass Jar with Black CR Lid</t>
        </is>
      </c>
      <c r="C156" s="9" t="inlineStr">
        <is>
          <t>The 5 oz Glass Jar with Black CR Lid is a heavy-duty glass container built for extractors, labs, and brands who need child-resistant storage that still looks clean on the shelf. With a true 5 oz (148ml) capacity and smoo…</t>
        </is>
      </c>
      <c r="D156" s="9" t="inlineStr">
        <is>
          <t>Quantity: 1000</t>
        </is>
      </c>
      <c r="E156" s="13" t="inlineStr">
        <is>
          <t>5OZ - 1000</t>
        </is>
      </c>
      <c r="F156" s="13" t="inlineStr">
        <is>
          <t>Packaging</t>
        </is>
      </c>
      <c r="G156" s="11" t="n">
        <v>1000</v>
      </c>
      <c r="H156" s="13" t="inlineStr">
        <is>
          <t>pcs</t>
        </is>
      </c>
      <c r="I156" s="10" t="n">
        <v>31.99</v>
      </c>
      <c r="J156" s="10" t="inlineStr"/>
      <c r="K156" s="12">
        <f>IFERROR(I156/G156,"")</f>
        <v/>
      </c>
      <c r="L156" s="12">
        <f>IFERROR(J156/G156,"")</f>
        <v/>
      </c>
      <c r="M156" s="14">
        <f>IFERROR((I156-J156)/I156,"")</f>
        <v/>
      </c>
      <c r="N156" s="10" t="n">
        <v>64</v>
      </c>
      <c r="O156" s="11" t="n">
        <v>100</v>
      </c>
      <c r="P156" s="12">
        <f>IFERROR(N156/O156,"")</f>
        <v/>
      </c>
      <c r="Q156" s="10" t="inlineStr"/>
      <c r="R156" s="11" t="inlineStr"/>
      <c r="S156" s="12">
        <f>IFERROR(Q156/R156,"")</f>
        <v/>
      </c>
      <c r="T156" s="13" t="inlineStr">
        <is>
          <t>Observed</t>
        </is>
      </c>
      <c r="U156" s="9" t="inlineStr">
        <is>
          <t>https://www.innovativesourcing.com/products/5oz-glass-jars-with-black-cr-lid</t>
        </is>
      </c>
      <c r="V156" s="9" t="inlineStr">
        <is>
          <t>5oz glass jar with black CR lid; 100 count case price $64 (unit $0.64).</t>
        </is>
      </c>
      <c r="W156" s="13">
        <f>IF(G156="","",IF(G156&lt;=Assumptions!$B$9,Assumptions!$C$9,IF(G156&lt;=Assumptions!$B$10,Assumptions!$C$10,IF(G156&lt;=Assumptions!$B$11,Assumptions!$C$11,Assumptions!$C$12))))</f>
        <v/>
      </c>
      <c r="X156" s="13">
        <f>IF(F156="Branded",Assumptions!$B$5,IF(OR(F156="Packaging",F156="Bags"),Assumptions!$B$4,1))</f>
        <v/>
      </c>
      <c r="Y156" s="14">
        <f>IFERROR(VLOOKUP(F156,Assumptions!$A$16:$C$20,2,FALSE),0.40)</f>
        <v/>
      </c>
      <c r="Z156" s="14">
        <f>IFERROR(VLOOKUP(F156,Assumptions!$A$16:$C$20,3,FALSE),0.30)</f>
        <v/>
      </c>
      <c r="AA156" s="12">
        <f>IF(P156&lt;&gt;"",P156*X156*W156,IF(L156&lt;&gt;"",L156/(1-Y156),K156))</f>
        <v/>
      </c>
      <c r="AB156" s="12">
        <f>IF(L156&lt;&gt;"",L156/(1-Z156),"")</f>
        <v/>
      </c>
      <c r="AC156" s="12">
        <f>IF(AB156="",AA156,MAX(AA156,AB156))</f>
        <v/>
      </c>
      <c r="AD156" s="10">
        <f>IF(AC156="","",AC156*G156)</f>
        <v/>
      </c>
      <c r="AE156" s="10">
        <f>IF(AD156="","",ROUNDUP(AD156,0)-0.01)</f>
        <v/>
      </c>
      <c r="AF156" s="9">
        <f>IF(P156&lt;&gt;"","Competitor-based",IF(L156&lt;&gt;"","Cost+margin","Needs review"))</f>
        <v/>
      </c>
    </row>
    <row r="157" ht="46" customHeight="1">
      <c r="A157" s="13" t="inlineStr">
        <is>
          <t>5oz-glass-jar-with-black-cr-lid</t>
        </is>
      </c>
      <c r="B157" s="9" t="inlineStr">
        <is>
          <t>5 oz Glass Jar with Black CR Lid</t>
        </is>
      </c>
      <c r="C157" s="9" t="inlineStr">
        <is>
          <t>The 5 oz Glass Jar with Black CR Lid is a heavy-duty glass container built for extractors, labs, and brands who need child-resistant storage that still looks clean on the shelf. With a true 5 oz (148ml) capacity and smoo…</t>
        </is>
      </c>
      <c r="D157" s="9" t="inlineStr">
        <is>
          <t>Quantity: 1 (Sample)</t>
        </is>
      </c>
      <c r="E157" s="13" t="inlineStr">
        <is>
          <t>5OZ - SAMPLE</t>
        </is>
      </c>
      <c r="F157" s="13" t="inlineStr">
        <is>
          <t>Packaging</t>
        </is>
      </c>
      <c r="G157" s="11" t="n">
        <v>1</v>
      </c>
      <c r="H157" s="13" t="inlineStr">
        <is>
          <t>pcs</t>
        </is>
      </c>
      <c r="I157" s="10" t="n">
        <v>36.99</v>
      </c>
      <c r="J157" s="10" t="inlineStr"/>
      <c r="K157" s="12">
        <f>IFERROR(I157/G157,"")</f>
        <v/>
      </c>
      <c r="L157" s="12">
        <f>IFERROR(J157/G157,"")</f>
        <v/>
      </c>
      <c r="M157" s="14">
        <f>IFERROR((I157-J157)/I157,"")</f>
        <v/>
      </c>
      <c r="N157" s="10" t="n">
        <v>64</v>
      </c>
      <c r="O157" s="11" t="n">
        <v>100</v>
      </c>
      <c r="P157" s="12">
        <f>IFERROR(N157/O157,"")</f>
        <v/>
      </c>
      <c r="Q157" s="10" t="inlineStr"/>
      <c r="R157" s="11" t="inlineStr"/>
      <c r="S157" s="12">
        <f>IFERROR(Q157/R157,"")</f>
        <v/>
      </c>
      <c r="T157" s="13" t="inlineStr">
        <is>
          <t>Observed</t>
        </is>
      </c>
      <c r="U157" s="9" t="inlineStr">
        <is>
          <t>https://www.innovativesourcing.com/products/5oz-glass-jars-with-black-cr-lid</t>
        </is>
      </c>
      <c r="V157" s="9" t="inlineStr">
        <is>
          <t>5oz glass jar with black CR lid; 100 count case price $64 (unit $0.64).</t>
        </is>
      </c>
      <c r="W157" s="13">
        <f>IF(G157="","",IF(G157&lt;=Assumptions!$B$9,Assumptions!$C$9,IF(G157&lt;=Assumptions!$B$10,Assumptions!$C$10,IF(G157&lt;=Assumptions!$B$11,Assumptions!$C$11,Assumptions!$C$12))))</f>
        <v/>
      </c>
      <c r="X157" s="13">
        <f>IF(F157="Branded",Assumptions!$B$5,IF(OR(F157="Packaging",F157="Bags"),Assumptions!$B$4,1))</f>
        <v/>
      </c>
      <c r="Y157" s="14">
        <f>IFERROR(VLOOKUP(F157,Assumptions!$A$16:$C$20,2,FALSE),0.40)</f>
        <v/>
      </c>
      <c r="Z157" s="14">
        <f>IFERROR(VLOOKUP(F157,Assumptions!$A$16:$C$20,3,FALSE),0.30)</f>
        <v/>
      </c>
      <c r="AA157" s="12">
        <f>IF(P157&lt;&gt;"",P157*X157*W157,IF(L157&lt;&gt;"",L157/(1-Y157),K157))</f>
        <v/>
      </c>
      <c r="AB157" s="12">
        <f>IF(L157&lt;&gt;"",L157/(1-Z157),"")</f>
        <v/>
      </c>
      <c r="AC157" s="12">
        <f>IF(AB157="",AA157,MAX(AA157,AB157))</f>
        <v/>
      </c>
      <c r="AD157" s="10">
        <f>IF(AC157="","",AC157*G157)</f>
        <v/>
      </c>
      <c r="AE157" s="10">
        <f>IF(AD157="","",ROUNDUP(AD157,0)-0.01)</f>
        <v/>
      </c>
      <c r="AF157" s="9">
        <f>IF(P157&lt;&gt;"","Competitor-based",IF(L157&lt;&gt;"","Cost+margin","Needs review"))</f>
        <v/>
      </c>
    </row>
    <row r="158" ht="46" customHeight="1">
      <c r="A158" s="13" t="inlineStr">
        <is>
          <t>9ml-round-bottom-child-resistant-glass-jar-with-lids</t>
        </is>
      </c>
      <c r="B158" s="9" t="inlineStr">
        <is>
          <t>9ml Heavy Bottom Child Resistant Glass Jar with Lids</t>
        </is>
      </c>
      <c r="C158" s="9" t="inlineStr">
        <is>
          <t>The 9ml Heavy Bottom Child Resistant Glass Jar with Lids is a pro-grade concentrate jar built for extractors, brands, and dispensaries that care about safety and shelf appeal. With a true 9ml capacity and thick, heavy-bo…</t>
        </is>
      </c>
      <c r="D158" s="9" t="inlineStr">
        <is>
          <t>Quantity: 64 / Color: Black</t>
        </is>
      </c>
      <c r="E158" s="13" t="inlineStr">
        <is>
          <t>9mlR - 64</t>
        </is>
      </c>
      <c r="F158" s="13" t="inlineStr">
        <is>
          <t>Packaging</t>
        </is>
      </c>
      <c r="G158" s="11" t="n">
        <v>64</v>
      </c>
      <c r="H158" s="13" t="inlineStr">
        <is>
          <t>pcs</t>
        </is>
      </c>
      <c r="I158" s="10" t="n">
        <v>39.99</v>
      </c>
      <c r="J158" s="10" t="inlineStr"/>
      <c r="K158" s="12">
        <f>IFERROR(I158/G158,"")</f>
        <v/>
      </c>
      <c r="L158" s="12">
        <f>IFERROR(J158/G158,"")</f>
        <v/>
      </c>
      <c r="M158" s="14">
        <f>IFERROR((I158-J158)/I158,"")</f>
        <v/>
      </c>
      <c r="N158" s="10" t="inlineStr"/>
      <c r="O158" s="11" t="inlineStr"/>
      <c r="P158" s="12">
        <f>IFERROR(N158/O158,"")</f>
        <v/>
      </c>
      <c r="Q158" s="10" t="inlineStr"/>
      <c r="R158" s="11" t="inlineStr"/>
      <c r="S158" s="12">
        <f>IFERROR(Q158/R158,"")</f>
        <v/>
      </c>
      <c r="T158" s="13" t="inlineStr"/>
      <c r="U158" s="9" t="inlineStr"/>
      <c r="V158" s="9" t="inlineStr"/>
      <c r="W158" s="13">
        <f>IF(G158="","",IF(G158&lt;=Assumptions!$B$9,Assumptions!$C$9,IF(G158&lt;=Assumptions!$B$10,Assumptions!$C$10,IF(G158&lt;=Assumptions!$B$11,Assumptions!$C$11,Assumptions!$C$12))))</f>
        <v/>
      </c>
      <c r="X158" s="13">
        <f>IF(F158="Branded",Assumptions!$B$5,IF(OR(F158="Packaging",F158="Bags"),Assumptions!$B$4,1))</f>
        <v/>
      </c>
      <c r="Y158" s="14">
        <f>IFERROR(VLOOKUP(F158,Assumptions!$A$16:$C$20,2,FALSE),0.40)</f>
        <v/>
      </c>
      <c r="Z158" s="14">
        <f>IFERROR(VLOOKUP(F158,Assumptions!$A$16:$C$20,3,FALSE),0.30)</f>
        <v/>
      </c>
      <c r="AA158" s="12">
        <f>IF(P158&lt;&gt;"",P158*X158*W158,IF(L158&lt;&gt;"",L158/(1-Y158),K158))</f>
        <v/>
      </c>
      <c r="AB158" s="12">
        <f>IF(L158&lt;&gt;"",L158/(1-Z158),"")</f>
        <v/>
      </c>
      <c r="AC158" s="12">
        <f>IF(AB158="",AA158,MAX(AA158,AB158))</f>
        <v/>
      </c>
      <c r="AD158" s="10">
        <f>IF(AC158="","",AC158*G158)</f>
        <v/>
      </c>
      <c r="AE158" s="10">
        <f>IF(AD158="","",ROUNDUP(AD158,0)-0.01)</f>
        <v/>
      </c>
      <c r="AF158" s="9">
        <f>IF(P158&lt;&gt;"","Competitor-based",IF(L158&lt;&gt;"","Cost+margin","Needs review"))</f>
        <v/>
      </c>
    </row>
    <row r="159" ht="46" customHeight="1">
      <c r="A159" s="13" t="inlineStr">
        <is>
          <t>9ml-round-bottom-child-resistant-glass-jar-with-lids</t>
        </is>
      </c>
      <c r="B159" s="9" t="inlineStr">
        <is>
          <t>9ml Heavy Bottom Child Resistant Glass Jar with Lids</t>
        </is>
      </c>
      <c r="C159" s="9" t="inlineStr">
        <is>
          <t>The 9ml Heavy Bottom Child Resistant Glass Jar with Lids is a pro-grade concentrate jar built for extractors, brands, and dispensaries that care about safety and shelf appeal. With a true 9ml capacity and thick, heavy-bo…</t>
        </is>
      </c>
      <c r="D159" s="9" t="inlineStr">
        <is>
          <t>Quantity: 128 / Color: Black</t>
        </is>
      </c>
      <c r="E159" s="13" t="inlineStr">
        <is>
          <t>9mlR - 128</t>
        </is>
      </c>
      <c r="F159" s="13" t="inlineStr">
        <is>
          <t>Packaging</t>
        </is>
      </c>
      <c r="G159" s="11" t="n">
        <v>128</v>
      </c>
      <c r="H159" s="13" t="inlineStr">
        <is>
          <t>pcs</t>
        </is>
      </c>
      <c r="I159" s="10" t="n">
        <v>34.99</v>
      </c>
      <c r="J159" s="10" t="inlineStr"/>
      <c r="K159" s="12">
        <f>IFERROR(I159/G159,"")</f>
        <v/>
      </c>
      <c r="L159" s="12">
        <f>IFERROR(J159/G159,"")</f>
        <v/>
      </c>
      <c r="M159" s="14">
        <f>IFERROR((I159-J159)/I159,"")</f>
        <v/>
      </c>
      <c r="N159" s="10" t="inlineStr"/>
      <c r="O159" s="11" t="inlineStr"/>
      <c r="P159" s="12">
        <f>IFERROR(N159/O159,"")</f>
        <v/>
      </c>
      <c r="Q159" s="10" t="inlineStr"/>
      <c r="R159" s="11" t="inlineStr"/>
      <c r="S159" s="12">
        <f>IFERROR(Q159/R159,"")</f>
        <v/>
      </c>
      <c r="T159" s="13" t="inlineStr"/>
      <c r="U159" s="9" t="inlineStr"/>
      <c r="V159" s="9" t="inlineStr"/>
      <c r="W159" s="13">
        <f>IF(G159="","",IF(G159&lt;=Assumptions!$B$9,Assumptions!$C$9,IF(G159&lt;=Assumptions!$B$10,Assumptions!$C$10,IF(G159&lt;=Assumptions!$B$11,Assumptions!$C$11,Assumptions!$C$12))))</f>
        <v/>
      </c>
      <c r="X159" s="13">
        <f>IF(F159="Branded",Assumptions!$B$5,IF(OR(F159="Packaging",F159="Bags"),Assumptions!$B$4,1))</f>
        <v/>
      </c>
      <c r="Y159" s="14">
        <f>IFERROR(VLOOKUP(F159,Assumptions!$A$16:$C$20,2,FALSE),0.40)</f>
        <v/>
      </c>
      <c r="Z159" s="14">
        <f>IFERROR(VLOOKUP(F159,Assumptions!$A$16:$C$20,3,FALSE),0.30)</f>
        <v/>
      </c>
      <c r="AA159" s="12">
        <f>IF(P159&lt;&gt;"",P159*X159*W159,IF(L159&lt;&gt;"",L159/(1-Y159),K159))</f>
        <v/>
      </c>
      <c r="AB159" s="12">
        <f>IF(L159&lt;&gt;"",L159/(1-Z159),"")</f>
        <v/>
      </c>
      <c r="AC159" s="12">
        <f>IF(AB159="",AA159,MAX(AA159,AB159))</f>
        <v/>
      </c>
      <c r="AD159" s="10">
        <f>IF(AC159="","",AC159*G159)</f>
        <v/>
      </c>
      <c r="AE159" s="10">
        <f>IF(AD159="","",ROUNDUP(AD159,0)-0.01)</f>
        <v/>
      </c>
      <c r="AF159" s="9">
        <f>IF(P159&lt;&gt;"","Competitor-based",IF(L159&lt;&gt;"","Cost+margin","Needs review"))</f>
        <v/>
      </c>
    </row>
    <row r="160" ht="46" customHeight="1">
      <c r="A160" s="13" t="inlineStr">
        <is>
          <t>9ml-round-bottom-child-resistant-glass-jar-with-lids</t>
        </is>
      </c>
      <c r="B160" s="9" t="inlineStr">
        <is>
          <t>9ml Heavy Bottom Child Resistant Glass Jar with Lids</t>
        </is>
      </c>
      <c r="C160" s="9" t="inlineStr">
        <is>
          <t>The 9ml Heavy Bottom Child Resistant Glass Jar with Lids is a pro-grade concentrate jar built for extractors, brands, and dispensaries that care about safety and shelf appeal. With a true 9ml capacity and thick, heavy-bo…</t>
        </is>
      </c>
      <c r="D160" s="9" t="inlineStr">
        <is>
          <t>Quantity: 320 / Color: Black</t>
        </is>
      </c>
      <c r="E160" s="13" t="inlineStr">
        <is>
          <t>9mlR - 320</t>
        </is>
      </c>
      <c r="F160" s="13" t="inlineStr">
        <is>
          <t>Packaging</t>
        </is>
      </c>
      <c r="G160" s="11" t="n">
        <v>320</v>
      </c>
      <c r="H160" s="13" t="inlineStr">
        <is>
          <t>pcs</t>
        </is>
      </c>
      <c r="I160" s="10" t="n">
        <v>79.98999999999999</v>
      </c>
      <c r="J160" s="10" t="inlineStr"/>
      <c r="K160" s="12">
        <f>IFERROR(I160/G160,"")</f>
        <v/>
      </c>
      <c r="L160" s="12">
        <f>IFERROR(J160/G160,"")</f>
        <v/>
      </c>
      <c r="M160" s="14">
        <f>IFERROR((I160-J160)/I160,"")</f>
        <v/>
      </c>
      <c r="N160" s="10" t="inlineStr"/>
      <c r="O160" s="11" t="inlineStr"/>
      <c r="P160" s="12">
        <f>IFERROR(N160/O160,"")</f>
        <v/>
      </c>
      <c r="Q160" s="10" t="inlineStr"/>
      <c r="R160" s="11" t="inlineStr"/>
      <c r="S160" s="12">
        <f>IFERROR(Q160/R160,"")</f>
        <v/>
      </c>
      <c r="T160" s="13" t="inlineStr"/>
      <c r="U160" s="9" t="inlineStr"/>
      <c r="V160" s="9" t="inlineStr"/>
      <c r="W160" s="13">
        <f>IF(G160="","",IF(G160&lt;=Assumptions!$B$9,Assumptions!$C$9,IF(G160&lt;=Assumptions!$B$10,Assumptions!$C$10,IF(G160&lt;=Assumptions!$B$11,Assumptions!$C$11,Assumptions!$C$12))))</f>
        <v/>
      </c>
      <c r="X160" s="13">
        <f>IF(F160="Branded",Assumptions!$B$5,IF(OR(F160="Packaging",F160="Bags"),Assumptions!$B$4,1))</f>
        <v/>
      </c>
      <c r="Y160" s="14">
        <f>IFERROR(VLOOKUP(F160,Assumptions!$A$16:$C$20,2,FALSE),0.40)</f>
        <v/>
      </c>
      <c r="Z160" s="14">
        <f>IFERROR(VLOOKUP(F160,Assumptions!$A$16:$C$20,3,FALSE),0.30)</f>
        <v/>
      </c>
      <c r="AA160" s="12">
        <f>IF(P160&lt;&gt;"",P160*X160*W160,IF(L160&lt;&gt;"",L160/(1-Y160),K160))</f>
        <v/>
      </c>
      <c r="AB160" s="12">
        <f>IF(L160&lt;&gt;"",L160/(1-Z160),"")</f>
        <v/>
      </c>
      <c r="AC160" s="12">
        <f>IF(AB160="",AA160,MAX(AA160,AB160))</f>
        <v/>
      </c>
      <c r="AD160" s="10">
        <f>IF(AC160="","",AC160*G160)</f>
        <v/>
      </c>
      <c r="AE160" s="10">
        <f>IF(AD160="","",ROUNDUP(AD160,0)-0.01)</f>
        <v/>
      </c>
      <c r="AF160" s="9">
        <f>IF(P160&lt;&gt;"","Competitor-based",IF(L160&lt;&gt;"","Cost+margin","Needs review"))</f>
        <v/>
      </c>
    </row>
    <row r="161" ht="46" customHeight="1">
      <c r="A161" s="13" t="inlineStr">
        <is>
          <t>7ml-uv-resistant-jar-with-cr-black-lids</t>
        </is>
      </c>
      <c r="B161" s="9" t="inlineStr">
        <is>
          <t>7ml UV Resistant Heavy Bottom Jar with Child Resistant Black Lids</t>
        </is>
      </c>
      <c r="C161" s="9" t="inlineStr">
        <is>
          <t>The 7ml UV Resistant Heavy Bottom Jar with Child Resistant Black Lids is a lab-ready glass concentrate jar built for extractors, brands, and dispensaries who care about shelf appeal and compliance. UV-blocking glass help…</t>
        </is>
      </c>
      <c r="D161" s="9" t="inlineStr">
        <is>
          <t>Quantity: 80</t>
        </is>
      </c>
      <c r="E161" s="13" t="inlineStr">
        <is>
          <t>7mluv - 80</t>
        </is>
      </c>
      <c r="F161" s="13" t="inlineStr">
        <is>
          <t>Packaging</t>
        </is>
      </c>
      <c r="G161" s="11" t="n">
        <v>80</v>
      </c>
      <c r="H161" s="13" t="inlineStr">
        <is>
          <t>pcs</t>
        </is>
      </c>
      <c r="I161" s="10" t="n">
        <v>79.98999999999999</v>
      </c>
      <c r="J161" s="10" t="inlineStr"/>
      <c r="K161" s="12">
        <f>IFERROR(I161/G161,"")</f>
        <v/>
      </c>
      <c r="L161" s="12">
        <f>IFERROR(J161/G161,"")</f>
        <v/>
      </c>
      <c r="M161" s="14">
        <f>IFERROR((I161-J161)/I161,"")</f>
        <v/>
      </c>
      <c r="N161" s="10" t="inlineStr"/>
      <c r="O161" s="11" t="inlineStr"/>
      <c r="P161" s="12">
        <f>IFERROR(N161/O161,"")</f>
        <v/>
      </c>
      <c r="Q161" s="10" t="inlineStr"/>
      <c r="R161" s="11" t="inlineStr"/>
      <c r="S161" s="12">
        <f>IFERROR(Q161/R161,"")</f>
        <v/>
      </c>
      <c r="T161" s="13" t="inlineStr"/>
      <c r="U161" s="9" t="inlineStr"/>
      <c r="V161" s="9" t="inlineStr"/>
      <c r="W161" s="13">
        <f>IF(G161="","",IF(G161&lt;=Assumptions!$B$9,Assumptions!$C$9,IF(G161&lt;=Assumptions!$B$10,Assumptions!$C$10,IF(G161&lt;=Assumptions!$B$11,Assumptions!$C$11,Assumptions!$C$12))))</f>
        <v/>
      </c>
      <c r="X161" s="13">
        <f>IF(F161="Branded",Assumptions!$B$5,IF(OR(F161="Packaging",F161="Bags"),Assumptions!$B$4,1))</f>
        <v/>
      </c>
      <c r="Y161" s="14">
        <f>IFERROR(VLOOKUP(F161,Assumptions!$A$16:$C$20,2,FALSE),0.40)</f>
        <v/>
      </c>
      <c r="Z161" s="14">
        <f>IFERROR(VLOOKUP(F161,Assumptions!$A$16:$C$20,3,FALSE),0.30)</f>
        <v/>
      </c>
      <c r="AA161" s="12">
        <f>IF(P161&lt;&gt;"",P161*X161*W161,IF(L161&lt;&gt;"",L161/(1-Y161),K161))</f>
        <v/>
      </c>
      <c r="AB161" s="12">
        <f>IF(L161&lt;&gt;"",L161/(1-Z161),"")</f>
        <v/>
      </c>
      <c r="AC161" s="12">
        <f>IF(AB161="",AA161,MAX(AA161,AB161))</f>
        <v/>
      </c>
      <c r="AD161" s="10">
        <f>IF(AC161="","",AC161*G161)</f>
        <v/>
      </c>
      <c r="AE161" s="10">
        <f>IF(AD161="","",ROUNDUP(AD161,0)-0.01)</f>
        <v/>
      </c>
      <c r="AF161" s="9">
        <f>IF(P161&lt;&gt;"","Competitor-based",IF(L161&lt;&gt;"","Cost+margin","Needs review"))</f>
        <v/>
      </c>
    </row>
    <row r="162" ht="46" customHeight="1">
      <c r="A162" s="13" t="inlineStr">
        <is>
          <t>7ml-uv-resistant-jar-with-cr-black-lids</t>
        </is>
      </c>
      <c r="B162" s="9" t="inlineStr">
        <is>
          <t>7ml UV Resistant Heavy Bottom Jar with Child Resistant Black Lids</t>
        </is>
      </c>
      <c r="C162" s="9" t="inlineStr">
        <is>
          <t>The 7ml UV Resistant Heavy Bottom Jar with Child Resistant Black Lids is a lab-ready glass concentrate jar built for extractors, brands, and dispensaries who care about shelf appeal and compliance. UV-blocking glass help…</t>
        </is>
      </c>
      <c r="D162" s="9" t="inlineStr">
        <is>
          <t>Quantity: 160</t>
        </is>
      </c>
      <c r="E162" s="13" t="inlineStr">
        <is>
          <t>7mluv - 160</t>
        </is>
      </c>
      <c r="F162" s="13" t="inlineStr">
        <is>
          <t>Packaging</t>
        </is>
      </c>
      <c r="G162" s="11" t="n">
        <v>160</v>
      </c>
      <c r="H162" s="13" t="inlineStr">
        <is>
          <t>pcs</t>
        </is>
      </c>
      <c r="I162" s="10" t="n">
        <v>24.99</v>
      </c>
      <c r="J162" s="10" t="inlineStr"/>
      <c r="K162" s="12">
        <f>IFERROR(I162/G162,"")</f>
        <v/>
      </c>
      <c r="L162" s="12">
        <f>IFERROR(J162/G162,"")</f>
        <v/>
      </c>
      <c r="M162" s="14">
        <f>IFERROR((I162-J162)/I162,"")</f>
        <v/>
      </c>
      <c r="N162" s="10" t="inlineStr"/>
      <c r="O162" s="11" t="inlineStr"/>
      <c r="P162" s="12">
        <f>IFERROR(N162/O162,"")</f>
        <v/>
      </c>
      <c r="Q162" s="10" t="inlineStr"/>
      <c r="R162" s="11" t="inlineStr"/>
      <c r="S162" s="12">
        <f>IFERROR(Q162/R162,"")</f>
        <v/>
      </c>
      <c r="T162" s="13" t="inlineStr"/>
      <c r="U162" s="9" t="inlineStr"/>
      <c r="V162" s="9" t="inlineStr"/>
      <c r="W162" s="13">
        <f>IF(G162="","",IF(G162&lt;=Assumptions!$B$9,Assumptions!$C$9,IF(G162&lt;=Assumptions!$B$10,Assumptions!$C$10,IF(G162&lt;=Assumptions!$B$11,Assumptions!$C$11,Assumptions!$C$12))))</f>
        <v/>
      </c>
      <c r="X162" s="13">
        <f>IF(F162="Branded",Assumptions!$B$5,IF(OR(F162="Packaging",F162="Bags"),Assumptions!$B$4,1))</f>
        <v/>
      </c>
      <c r="Y162" s="14">
        <f>IFERROR(VLOOKUP(F162,Assumptions!$A$16:$C$20,2,FALSE),0.40)</f>
        <v/>
      </c>
      <c r="Z162" s="14">
        <f>IFERROR(VLOOKUP(F162,Assumptions!$A$16:$C$20,3,FALSE),0.30)</f>
        <v/>
      </c>
      <c r="AA162" s="12">
        <f>IF(P162&lt;&gt;"",P162*X162*W162,IF(L162&lt;&gt;"",L162/(1-Y162),K162))</f>
        <v/>
      </c>
      <c r="AB162" s="12">
        <f>IF(L162&lt;&gt;"",L162/(1-Z162),"")</f>
        <v/>
      </c>
      <c r="AC162" s="12">
        <f>IF(AB162="",AA162,MAX(AA162,AB162))</f>
        <v/>
      </c>
      <c r="AD162" s="10">
        <f>IF(AC162="","",AC162*G162)</f>
        <v/>
      </c>
      <c r="AE162" s="10">
        <f>IF(AD162="","",ROUNDUP(AD162,0)-0.01)</f>
        <v/>
      </c>
      <c r="AF162" s="9">
        <f>IF(P162&lt;&gt;"","Competitor-based",IF(L162&lt;&gt;"","Cost+margin","Needs review"))</f>
        <v/>
      </c>
    </row>
    <row r="163" ht="46" customHeight="1">
      <c r="A163" s="13" t="inlineStr">
        <is>
          <t>7ml-uv-resistant-jar-with-cr-black-lids</t>
        </is>
      </c>
      <c r="B163" s="9" t="inlineStr">
        <is>
          <t>7ml UV Resistant Heavy Bottom Jar with Child Resistant Black Lids</t>
        </is>
      </c>
      <c r="C163" s="9" t="inlineStr">
        <is>
          <t>The 7ml UV Resistant Heavy Bottom Jar with Child Resistant Black Lids is a lab-ready glass concentrate jar built for extractors, brands, and dispensaries who care about shelf appeal and compliance. UV-blocking glass help…</t>
        </is>
      </c>
      <c r="D163" s="9" t="inlineStr">
        <is>
          <t>Quantity: 320</t>
        </is>
      </c>
      <c r="E163" s="13" t="inlineStr">
        <is>
          <t>7mluv - 320</t>
        </is>
      </c>
      <c r="F163" s="13" t="inlineStr">
        <is>
          <t>Packaging</t>
        </is>
      </c>
      <c r="G163" s="11" t="n">
        <v>320</v>
      </c>
      <c r="H163" s="13" t="inlineStr">
        <is>
          <t>pcs</t>
        </is>
      </c>
      <c r="I163" s="10" t="n">
        <v>139</v>
      </c>
      <c r="J163" s="10" t="inlineStr"/>
      <c r="K163" s="12">
        <f>IFERROR(I163/G163,"")</f>
        <v/>
      </c>
      <c r="L163" s="12">
        <f>IFERROR(J163/G163,"")</f>
        <v/>
      </c>
      <c r="M163" s="14">
        <f>IFERROR((I163-J163)/I163,"")</f>
        <v/>
      </c>
      <c r="N163" s="10" t="inlineStr"/>
      <c r="O163" s="11" t="inlineStr"/>
      <c r="P163" s="12">
        <f>IFERROR(N163/O163,"")</f>
        <v/>
      </c>
      <c r="Q163" s="10" t="inlineStr"/>
      <c r="R163" s="11" t="inlineStr"/>
      <c r="S163" s="12">
        <f>IFERROR(Q163/R163,"")</f>
        <v/>
      </c>
      <c r="T163" s="13" t="inlineStr"/>
      <c r="U163" s="9" t="inlineStr"/>
      <c r="V163" s="9" t="inlineStr"/>
      <c r="W163" s="13">
        <f>IF(G163="","",IF(G163&lt;=Assumptions!$B$9,Assumptions!$C$9,IF(G163&lt;=Assumptions!$B$10,Assumptions!$C$10,IF(G163&lt;=Assumptions!$B$11,Assumptions!$C$11,Assumptions!$C$12))))</f>
        <v/>
      </c>
      <c r="X163" s="13">
        <f>IF(F163="Branded",Assumptions!$B$5,IF(OR(F163="Packaging",F163="Bags"),Assumptions!$B$4,1))</f>
        <v/>
      </c>
      <c r="Y163" s="14">
        <f>IFERROR(VLOOKUP(F163,Assumptions!$A$16:$C$20,2,FALSE),0.40)</f>
        <v/>
      </c>
      <c r="Z163" s="14">
        <f>IFERROR(VLOOKUP(F163,Assumptions!$A$16:$C$20,3,FALSE),0.30)</f>
        <v/>
      </c>
      <c r="AA163" s="12">
        <f>IF(P163&lt;&gt;"",P163*X163*W163,IF(L163&lt;&gt;"",L163/(1-Y163),K163))</f>
        <v/>
      </c>
      <c r="AB163" s="12">
        <f>IF(L163&lt;&gt;"",L163/(1-Z163),"")</f>
        <v/>
      </c>
      <c r="AC163" s="12">
        <f>IF(AB163="",AA163,MAX(AA163,AB163))</f>
        <v/>
      </c>
      <c r="AD163" s="10">
        <f>IF(AC163="","",AC163*G163)</f>
        <v/>
      </c>
      <c r="AE163" s="10">
        <f>IF(AD163="","",ROUNDUP(AD163,0)-0.01)</f>
        <v/>
      </c>
      <c r="AF163" s="9">
        <f>IF(P163&lt;&gt;"","Competitor-based",IF(L163&lt;&gt;"","Cost+margin","Needs review"))</f>
        <v/>
      </c>
    </row>
    <row r="164" ht="46" customHeight="1">
      <c r="A164" s="13" t="inlineStr">
        <is>
          <t>custom-mylar-bag</t>
        </is>
      </c>
      <c r="B164" s="9" t="inlineStr">
        <is>
          <t>Custom Mylar Bag</t>
        </is>
      </c>
      <c r="C164" s="9" t="inlineStr">
        <is>
          <t>The Custom Mylar Bag from Oil Slick is a fully branded, smell-resistant packaging solution designed for dispensaries, processors, and cannabis brands that want their eighths to look as good on the shelf as the flower ins…</t>
        </is>
      </c>
      <c r="D164" s="9" t="inlineStr">
        <is>
          <t>Size: 3.5 oz / Quantity: 1000</t>
        </is>
      </c>
      <c r="E164" s="13" t="inlineStr"/>
      <c r="F164" s="13" t="inlineStr">
        <is>
          <t>Custom</t>
        </is>
      </c>
      <c r="G164" s="11" t="n">
        <v>1000</v>
      </c>
      <c r="H164" s="13" t="inlineStr">
        <is>
          <t>pcs</t>
        </is>
      </c>
      <c r="I164" s="10" t="n">
        <v>24.99</v>
      </c>
      <c r="J164" s="10" t="inlineStr"/>
      <c r="K164" s="12">
        <f>IFERROR(I164/G164,"")</f>
        <v/>
      </c>
      <c r="L164" s="12">
        <f>IFERROR(J164/G164,"")</f>
        <v/>
      </c>
      <c r="M164" s="14">
        <f>IFERROR((I164-J164)/I164,"")</f>
        <v/>
      </c>
      <c r="N164" s="10" t="inlineStr"/>
      <c r="O164" s="11" t="inlineStr"/>
      <c r="P164" s="12">
        <f>IFERROR(N164/O164,"")</f>
        <v/>
      </c>
      <c r="Q164" s="10" t="inlineStr"/>
      <c r="R164" s="11" t="inlineStr"/>
      <c r="S164" s="12">
        <f>IFERROR(Q164/R164,"")</f>
        <v/>
      </c>
      <c r="T164" s="13" t="inlineStr"/>
      <c r="U164" s="9" t="inlineStr"/>
      <c r="V164" s="9" t="inlineStr"/>
      <c r="W164" s="13">
        <f>IF(G164="","",IF(G164&lt;=Assumptions!$B$9,Assumptions!$C$9,IF(G164&lt;=Assumptions!$B$10,Assumptions!$C$10,IF(G164&lt;=Assumptions!$B$11,Assumptions!$C$11,Assumptions!$C$12))))</f>
        <v/>
      </c>
      <c r="X164" s="13">
        <f>IF(F164="Branded",Assumptions!$B$5,IF(OR(F164="Packaging",F164="Bags"),Assumptions!$B$4,1))</f>
        <v/>
      </c>
      <c r="Y164" s="14">
        <f>IFERROR(VLOOKUP(F164,Assumptions!$A$16:$C$20,2,FALSE),0.40)</f>
        <v/>
      </c>
      <c r="Z164" s="14">
        <f>IFERROR(VLOOKUP(F164,Assumptions!$A$16:$C$20,3,FALSE),0.30)</f>
        <v/>
      </c>
      <c r="AA164" s="12">
        <f>IF(P164&lt;&gt;"",P164*X164*W164,IF(L164&lt;&gt;"",L164/(1-Y164),K164))</f>
        <v/>
      </c>
      <c r="AB164" s="12">
        <f>IF(L164&lt;&gt;"",L164/(1-Z164),"")</f>
        <v/>
      </c>
      <c r="AC164" s="12">
        <f>IF(AB164="",AA164,MAX(AA164,AB164))</f>
        <v/>
      </c>
      <c r="AD164" s="10">
        <f>IF(AC164="","",AC164*G164)</f>
        <v/>
      </c>
      <c r="AE164" s="10">
        <f>IF(AD164="","",ROUNDUP(AD164,0)-0.01)</f>
        <v/>
      </c>
      <c r="AF164" s="9">
        <f>IF(P164&lt;&gt;"","Competitor-based",IF(L164&lt;&gt;"","Cost+margin","Needs review"))</f>
        <v/>
      </c>
    </row>
    <row r="165" ht="46" customHeight="1">
      <c r="A165" s="13" t="inlineStr">
        <is>
          <t>custom-mylar-bag</t>
        </is>
      </c>
      <c r="B165" s="9" t="inlineStr">
        <is>
          <t>Custom Mylar Bag</t>
        </is>
      </c>
      <c r="C165" s="9" t="inlineStr">
        <is>
          <t>The Custom Mylar Bag from Oil Slick is a fully branded, smell-resistant packaging solution designed for dispensaries, processors, and cannabis brands that want their eighths to look as good on the shelf as the flower ins…</t>
        </is>
      </c>
      <c r="D165" s="9" t="inlineStr">
        <is>
          <t>Size: 3.5 oz / Quantity: 2500</t>
        </is>
      </c>
      <c r="E165" s="13" t="inlineStr"/>
      <c r="F165" s="13" t="inlineStr">
        <is>
          <t>Custom</t>
        </is>
      </c>
      <c r="G165" s="11" t="n">
        <v>2500</v>
      </c>
      <c r="H165" s="13" t="inlineStr">
        <is>
          <t>pcs</t>
        </is>
      </c>
      <c r="I165" s="10" t="n">
        <v>24.99</v>
      </c>
      <c r="J165" s="10" t="inlineStr"/>
      <c r="K165" s="12">
        <f>IFERROR(I165/G165,"")</f>
        <v/>
      </c>
      <c r="L165" s="12">
        <f>IFERROR(J165/G165,"")</f>
        <v/>
      </c>
      <c r="M165" s="14">
        <f>IFERROR((I165-J165)/I165,"")</f>
        <v/>
      </c>
      <c r="N165" s="10" t="inlineStr"/>
      <c r="O165" s="11" t="inlineStr"/>
      <c r="P165" s="12">
        <f>IFERROR(N165/O165,"")</f>
        <v/>
      </c>
      <c r="Q165" s="10" t="inlineStr"/>
      <c r="R165" s="11" t="inlineStr"/>
      <c r="S165" s="12">
        <f>IFERROR(Q165/R165,"")</f>
        <v/>
      </c>
      <c r="T165" s="13" t="inlineStr"/>
      <c r="U165" s="9" t="inlineStr"/>
      <c r="V165" s="9" t="inlineStr"/>
      <c r="W165" s="13">
        <f>IF(G165="","",IF(G165&lt;=Assumptions!$B$9,Assumptions!$C$9,IF(G165&lt;=Assumptions!$B$10,Assumptions!$C$10,IF(G165&lt;=Assumptions!$B$11,Assumptions!$C$11,Assumptions!$C$12))))</f>
        <v/>
      </c>
      <c r="X165" s="13">
        <f>IF(F165="Branded",Assumptions!$B$5,IF(OR(F165="Packaging",F165="Bags"),Assumptions!$B$4,1))</f>
        <v/>
      </c>
      <c r="Y165" s="14">
        <f>IFERROR(VLOOKUP(F165,Assumptions!$A$16:$C$20,2,FALSE),0.40)</f>
        <v/>
      </c>
      <c r="Z165" s="14">
        <f>IFERROR(VLOOKUP(F165,Assumptions!$A$16:$C$20,3,FALSE),0.30)</f>
        <v/>
      </c>
      <c r="AA165" s="12">
        <f>IF(P165&lt;&gt;"",P165*X165*W165,IF(L165&lt;&gt;"",L165/(1-Y165),K165))</f>
        <v/>
      </c>
      <c r="AB165" s="12">
        <f>IF(L165&lt;&gt;"",L165/(1-Z165),"")</f>
        <v/>
      </c>
      <c r="AC165" s="12">
        <f>IF(AB165="",AA165,MAX(AA165,AB165))</f>
        <v/>
      </c>
      <c r="AD165" s="10">
        <f>IF(AC165="","",AC165*G165)</f>
        <v/>
      </c>
      <c r="AE165" s="10">
        <f>IF(AD165="","",ROUNDUP(AD165,0)-0.01)</f>
        <v/>
      </c>
      <c r="AF165" s="9">
        <f>IF(P165&lt;&gt;"","Competitor-based",IF(L165&lt;&gt;"","Cost+margin","Needs review"))</f>
        <v/>
      </c>
    </row>
    <row r="166" ht="46" customHeight="1">
      <c r="A166" s="13" t="inlineStr">
        <is>
          <t>custom-mylar-bag</t>
        </is>
      </c>
      <c r="B166" s="9" t="inlineStr">
        <is>
          <t>Custom Mylar Bag</t>
        </is>
      </c>
      <c r="C166" s="9" t="inlineStr">
        <is>
          <t>The Custom Mylar Bag from Oil Slick is a fully branded, smell-resistant packaging solution designed for dispensaries, processors, and cannabis brands that want their eighths to look as good on the shelf as the flower ins…</t>
        </is>
      </c>
      <c r="D166" s="9" t="inlineStr">
        <is>
          <t>Size: 3.5 oz / Quantity: 5000</t>
        </is>
      </c>
      <c r="E166" s="13" t="inlineStr"/>
      <c r="F166" s="13" t="inlineStr">
        <is>
          <t>Custom</t>
        </is>
      </c>
      <c r="G166" s="11" t="n">
        <v>5000</v>
      </c>
      <c r="H166" s="13" t="inlineStr">
        <is>
          <t>pcs</t>
        </is>
      </c>
      <c r="I166" s="10" t="n">
        <v>24.99</v>
      </c>
      <c r="J166" s="10" t="inlineStr"/>
      <c r="K166" s="12">
        <f>IFERROR(I166/G166,"")</f>
        <v/>
      </c>
      <c r="L166" s="12">
        <f>IFERROR(J166/G166,"")</f>
        <v/>
      </c>
      <c r="M166" s="14">
        <f>IFERROR((I166-J166)/I166,"")</f>
        <v/>
      </c>
      <c r="N166" s="10" t="inlineStr"/>
      <c r="O166" s="11" t="inlineStr"/>
      <c r="P166" s="12">
        <f>IFERROR(N166/O166,"")</f>
        <v/>
      </c>
      <c r="Q166" s="10" t="inlineStr"/>
      <c r="R166" s="11" t="inlineStr"/>
      <c r="S166" s="12">
        <f>IFERROR(Q166/R166,"")</f>
        <v/>
      </c>
      <c r="T166" s="13" t="inlineStr"/>
      <c r="U166" s="9" t="inlineStr"/>
      <c r="V166" s="9" t="inlineStr"/>
      <c r="W166" s="13">
        <f>IF(G166="","",IF(G166&lt;=Assumptions!$B$9,Assumptions!$C$9,IF(G166&lt;=Assumptions!$B$10,Assumptions!$C$10,IF(G166&lt;=Assumptions!$B$11,Assumptions!$C$11,Assumptions!$C$12))))</f>
        <v/>
      </c>
      <c r="X166" s="13">
        <f>IF(F166="Branded",Assumptions!$B$5,IF(OR(F166="Packaging",F166="Bags"),Assumptions!$B$4,1))</f>
        <v/>
      </c>
      <c r="Y166" s="14">
        <f>IFERROR(VLOOKUP(F166,Assumptions!$A$16:$C$20,2,FALSE),0.40)</f>
        <v/>
      </c>
      <c r="Z166" s="14">
        <f>IFERROR(VLOOKUP(F166,Assumptions!$A$16:$C$20,3,FALSE),0.30)</f>
        <v/>
      </c>
      <c r="AA166" s="12">
        <f>IF(P166&lt;&gt;"",P166*X166*W166,IF(L166&lt;&gt;"",L166/(1-Y166),K166))</f>
        <v/>
      </c>
      <c r="AB166" s="12">
        <f>IF(L166&lt;&gt;"",L166/(1-Z166),"")</f>
        <v/>
      </c>
      <c r="AC166" s="12">
        <f>IF(AB166="",AA166,MAX(AA166,AB166))</f>
        <v/>
      </c>
      <c r="AD166" s="10">
        <f>IF(AC166="","",AC166*G166)</f>
        <v/>
      </c>
      <c r="AE166" s="10">
        <f>IF(AD166="","",ROUNDUP(AD166,0)-0.01)</f>
        <v/>
      </c>
      <c r="AF166" s="9">
        <f>IF(P166&lt;&gt;"","Competitor-based",IF(L166&lt;&gt;"","Cost+margin","Needs review"))</f>
        <v/>
      </c>
    </row>
    <row r="167" ht="46" customHeight="1">
      <c r="A167" s="13" t="inlineStr">
        <is>
          <t>custom-mylar-bag</t>
        </is>
      </c>
      <c r="B167" s="9" t="inlineStr">
        <is>
          <t>Custom Mylar Bag</t>
        </is>
      </c>
      <c r="C167" s="9" t="inlineStr">
        <is>
          <t>The Custom Mylar Bag from Oil Slick is a fully branded, smell-resistant packaging solution designed for dispensaries, processors, and cannabis brands that want their eighths to look as good on the shelf as the flower ins…</t>
        </is>
      </c>
      <c r="D167" s="9" t="inlineStr">
        <is>
          <t>Size: 3.5 oz / Quantity: 10000</t>
        </is>
      </c>
      <c r="E167" s="13" t="inlineStr"/>
      <c r="F167" s="13" t="inlineStr">
        <is>
          <t>Custom</t>
        </is>
      </c>
      <c r="G167" s="11" t="n">
        <v>10000</v>
      </c>
      <c r="H167" s="13" t="inlineStr">
        <is>
          <t>pcs</t>
        </is>
      </c>
      <c r="I167" s="10" t="n">
        <v>24.99</v>
      </c>
      <c r="J167" s="10" t="inlineStr"/>
      <c r="K167" s="12">
        <f>IFERROR(I167/G167,"")</f>
        <v/>
      </c>
      <c r="L167" s="12">
        <f>IFERROR(J167/G167,"")</f>
        <v/>
      </c>
      <c r="M167" s="14">
        <f>IFERROR((I167-J167)/I167,"")</f>
        <v/>
      </c>
      <c r="N167" s="10" t="inlineStr"/>
      <c r="O167" s="11" t="inlineStr"/>
      <c r="P167" s="12">
        <f>IFERROR(N167/O167,"")</f>
        <v/>
      </c>
      <c r="Q167" s="10" t="inlineStr"/>
      <c r="R167" s="11" t="inlineStr"/>
      <c r="S167" s="12">
        <f>IFERROR(Q167/R167,"")</f>
        <v/>
      </c>
      <c r="T167" s="13" t="inlineStr"/>
      <c r="U167" s="9" t="inlineStr"/>
      <c r="V167" s="9" t="inlineStr"/>
      <c r="W167" s="13">
        <f>IF(G167="","",IF(G167&lt;=Assumptions!$B$9,Assumptions!$C$9,IF(G167&lt;=Assumptions!$B$10,Assumptions!$C$10,IF(G167&lt;=Assumptions!$B$11,Assumptions!$C$11,Assumptions!$C$12))))</f>
        <v/>
      </c>
      <c r="X167" s="13">
        <f>IF(F167="Branded",Assumptions!$B$5,IF(OR(F167="Packaging",F167="Bags"),Assumptions!$B$4,1))</f>
        <v/>
      </c>
      <c r="Y167" s="14">
        <f>IFERROR(VLOOKUP(F167,Assumptions!$A$16:$C$20,2,FALSE),0.40)</f>
        <v/>
      </c>
      <c r="Z167" s="14">
        <f>IFERROR(VLOOKUP(F167,Assumptions!$A$16:$C$20,3,FALSE),0.30)</f>
        <v/>
      </c>
      <c r="AA167" s="12">
        <f>IF(P167&lt;&gt;"",P167*X167*W167,IF(L167&lt;&gt;"",L167/(1-Y167),K167))</f>
        <v/>
      </c>
      <c r="AB167" s="12">
        <f>IF(L167&lt;&gt;"",L167/(1-Z167),"")</f>
        <v/>
      </c>
      <c r="AC167" s="12">
        <f>IF(AB167="",AA167,MAX(AA167,AB167))</f>
        <v/>
      </c>
      <c r="AD167" s="10">
        <f>IF(AC167="","",AC167*G167)</f>
        <v/>
      </c>
      <c r="AE167" s="10">
        <f>IF(AD167="","",ROUNDUP(AD167,0)-0.01)</f>
        <v/>
      </c>
      <c r="AF167" s="9">
        <f>IF(P167&lt;&gt;"","Competitor-based",IF(L167&lt;&gt;"","Cost+margin","Needs review"))</f>
        <v/>
      </c>
    </row>
    <row r="168" ht="46" customHeight="1">
      <c r="A168" s="13" t="inlineStr">
        <is>
          <t>18oz-child-resistant-glass-jars-with-black-caps-28-grams-1-ounce-capacity-airtight-and-durable-24-pack-the-ultimate-storage-solution-for-cannabis-flower-food-and-crafts</t>
        </is>
      </c>
      <c r="B168" s="9" t="inlineStr">
        <is>
          <t>18oz Child-Resistant Glass Jars with Black Caps – 28 Grams (1 Ounce) Capacity, Airtight and Durable, 24-Pack – The Ultimate Storage Solution for Cannabis Flower, Food, and Crafts</t>
        </is>
      </c>
      <c r="C168" s="9" t="inlineStr">
        <is>
          <t>The Oil Slick 18oz Child-Resistant Glass Jars with Black Caps are heavy-duty storage jars built for people who actually move weight — up to 28 grams (1 ounce) of cannabis flower per jar. They’re made for growers, home st…</t>
        </is>
      </c>
      <c r="D168" s="9" t="inlineStr">
        <is>
          <t>Title: Default Title</t>
        </is>
      </c>
      <c r="E168" s="13" t="inlineStr"/>
      <c r="F168" s="13" t="inlineStr">
        <is>
          <t>Packaging</t>
        </is>
      </c>
      <c r="G168" s="11" t="n">
        <v>24</v>
      </c>
      <c r="H168" s="13" t="inlineStr">
        <is>
          <t>pcs</t>
        </is>
      </c>
      <c r="I168" s="10" t="n">
        <v>49.99</v>
      </c>
      <c r="J168" s="10" t="inlineStr"/>
      <c r="K168" s="12">
        <f>IFERROR(I168/G168,"")</f>
        <v/>
      </c>
      <c r="L168" s="12">
        <f>IFERROR(J168/G168,"")</f>
        <v/>
      </c>
      <c r="M168" s="14">
        <f>IFERROR((I168-J168)/I168,"")</f>
        <v/>
      </c>
      <c r="N168" s="10" t="n">
        <v>159.99</v>
      </c>
      <c r="O168" s="11" t="n">
        <v>48</v>
      </c>
      <c r="P168" s="12">
        <f>IFERROR(N168/O168,"")</f>
        <v/>
      </c>
      <c r="Q168" s="10" t="inlineStr"/>
      <c r="R168" s="11" t="inlineStr"/>
      <c r="S168" s="12">
        <f>IFERROR(Q168/R168,"")</f>
        <v/>
      </c>
      <c r="T168" s="13" t="inlineStr">
        <is>
          <t>Observed</t>
        </is>
      </c>
      <c r="U168" s="9" t="inlineStr">
        <is>
          <t>https://www.premiumvials.com/10-oz-child-resistant-glass-jars-with-black-caps-14-grams-72-count/</t>
        </is>
      </c>
      <c r="V168" s="9" t="inlineStr">
        <is>
          <t>Premium Vials related products list 18oz child resistant jar black cap, 48 count, $159.99.</t>
        </is>
      </c>
      <c r="W168" s="13">
        <f>IF(G168="","",IF(G168&lt;=Assumptions!$B$9,Assumptions!$C$9,IF(G168&lt;=Assumptions!$B$10,Assumptions!$C$10,IF(G168&lt;=Assumptions!$B$11,Assumptions!$C$11,Assumptions!$C$12))))</f>
        <v/>
      </c>
      <c r="X168" s="13">
        <f>IF(F168="Branded",Assumptions!$B$5,IF(OR(F168="Packaging",F168="Bags"),Assumptions!$B$4,1))</f>
        <v/>
      </c>
      <c r="Y168" s="14">
        <f>IFERROR(VLOOKUP(F168,Assumptions!$A$16:$C$20,2,FALSE),0.40)</f>
        <v/>
      </c>
      <c r="Z168" s="14">
        <f>IFERROR(VLOOKUP(F168,Assumptions!$A$16:$C$20,3,FALSE),0.30)</f>
        <v/>
      </c>
      <c r="AA168" s="12">
        <f>IF(P168&lt;&gt;"",P168*X168*W168,IF(L168&lt;&gt;"",L168/(1-Y168),K168))</f>
        <v/>
      </c>
      <c r="AB168" s="12">
        <f>IF(L168&lt;&gt;"",L168/(1-Z168),"")</f>
        <v/>
      </c>
      <c r="AC168" s="12">
        <f>IF(AB168="",AA168,MAX(AA168,AB168))</f>
        <v/>
      </c>
      <c r="AD168" s="10">
        <f>IF(AC168="","",AC168*G168)</f>
        <v/>
      </c>
      <c r="AE168" s="10">
        <f>IF(AD168="","",ROUNDUP(AD168,0)-0.01)</f>
        <v/>
      </c>
      <c r="AF168" s="9">
        <f>IF(P168&lt;&gt;"","Competitor-based",IF(L168&lt;&gt;"","Cost+margin","Needs review"))</f>
        <v/>
      </c>
    </row>
    <row r="169" ht="46" customHeight="1">
      <c r="A169" s="13" t="inlineStr">
        <is>
          <t>10oz-child-resistant-glass-jars-with-black-caps-28-grams-1-ounce-capacity-airtight-and-durable-24-pack-the-ultimate-storage-solution-for-cannabis-flower-food-and-crafts-copy</t>
        </is>
      </c>
      <c r="B169" s="9" t="inlineStr">
        <is>
          <t>10oz Child-Resistant Glass Jars with Black Caps – 14 Grams (1/2 Ounce) Capacity, Airtight and Durable, 36-Pack – Ideal for Cannabis, Food, Display, and Craft Storage</t>
        </is>
      </c>
      <c r="C169" s="9" t="inlineStr">
        <is>
          <t>The Oil Slick 10oz Child-Resistant Glass Jars are half-ounce capacity storage containers built for dispensaries, cannabis brands, and home organizers who need compliant packaging that actually looks good on a shelf. Each…</t>
        </is>
      </c>
      <c r="D169" s="9" t="inlineStr">
        <is>
          <t>Title: Default Title</t>
        </is>
      </c>
      <c r="E169" s="13" t="inlineStr"/>
      <c r="F169" s="13" t="inlineStr">
        <is>
          <t>Packaging</t>
        </is>
      </c>
      <c r="G169" s="11" t="n">
        <v>36</v>
      </c>
      <c r="H169" s="13" t="inlineStr">
        <is>
          <t>pcs</t>
        </is>
      </c>
      <c r="I169" s="10" t="n">
        <v>22.99</v>
      </c>
      <c r="J169" s="10" t="inlineStr"/>
      <c r="K169" s="12">
        <f>IFERROR(I169/G169,"")</f>
        <v/>
      </c>
      <c r="L169" s="12">
        <f>IFERROR(J169/G169,"")</f>
        <v/>
      </c>
      <c r="M169" s="14">
        <f>IFERROR((I169-J169)/I169,"")</f>
        <v/>
      </c>
      <c r="N169" s="10" t="n">
        <v>154.08</v>
      </c>
      <c r="O169" s="11" t="n">
        <v>72</v>
      </c>
      <c r="P169" s="12">
        <f>IFERROR(N169/O169,"")</f>
        <v/>
      </c>
      <c r="Q169" s="10" t="inlineStr"/>
      <c r="R169" s="11" t="inlineStr"/>
      <c r="S169" s="12">
        <f>IFERROR(Q169/R169,"")</f>
        <v/>
      </c>
      <c r="T169" s="13" t="inlineStr">
        <is>
          <t>Observed</t>
        </is>
      </c>
      <c r="U169" s="9" t="inlineStr">
        <is>
          <t>https://greentechpackaging.com/products/glass-jar-10oz-black-cap</t>
        </is>
      </c>
      <c r="V169" s="9" t="inlineStr">
        <is>
          <t>Greentech packaging listing shows 72/case price $154.08 and unit price $2.14.</t>
        </is>
      </c>
      <c r="W169" s="13">
        <f>IF(G169="","",IF(G169&lt;=Assumptions!$B$9,Assumptions!$C$9,IF(G169&lt;=Assumptions!$B$10,Assumptions!$C$10,IF(G169&lt;=Assumptions!$B$11,Assumptions!$C$11,Assumptions!$C$12))))</f>
        <v/>
      </c>
      <c r="X169" s="13">
        <f>IF(F169="Branded",Assumptions!$B$5,IF(OR(F169="Packaging",F169="Bags"),Assumptions!$B$4,1))</f>
        <v/>
      </c>
      <c r="Y169" s="14">
        <f>IFERROR(VLOOKUP(F169,Assumptions!$A$16:$C$20,2,FALSE),0.40)</f>
        <v/>
      </c>
      <c r="Z169" s="14">
        <f>IFERROR(VLOOKUP(F169,Assumptions!$A$16:$C$20,3,FALSE),0.30)</f>
        <v/>
      </c>
      <c r="AA169" s="12">
        <f>IF(P169&lt;&gt;"",P169*X169*W169,IF(L169&lt;&gt;"",L169/(1-Y169),K169))</f>
        <v/>
      </c>
      <c r="AB169" s="12">
        <f>IF(L169&lt;&gt;"",L169/(1-Z169),"")</f>
        <v/>
      </c>
      <c r="AC169" s="12">
        <f>IF(AB169="",AA169,MAX(AA169,AB169))</f>
        <v/>
      </c>
      <c r="AD169" s="10">
        <f>IF(AC169="","",AC169*G169)</f>
        <v/>
      </c>
      <c r="AE169" s="10">
        <f>IF(AD169="","",ROUNDUP(AD169,0)-0.01)</f>
        <v/>
      </c>
      <c r="AF169" s="9">
        <f>IF(P169&lt;&gt;"","Competitor-based",IF(L169&lt;&gt;"","Cost+margin","Needs review"))</f>
        <v/>
      </c>
    </row>
    <row r="170" ht="46" customHeight="1">
      <c r="A170" s="13" t="inlineStr">
        <is>
          <t>child-resistant-opaque-tubes-with-hinged-lid-116mm-capacity-fits-109mm-cones-1-3g-size-airtight-discreet-storage-100-pack</t>
        </is>
      </c>
      <c r="B170" s="9" t="inlineStr">
        <is>
          <t>Child-Resistant Opaque Tubes with Hinged Lid – 116mm Capacity, Fits 109mm Cones, 1.3g Size – Airtight &amp; Discreet Storage – 100 Pack</t>
        </is>
      </c>
      <c r="C170" s="9" t="inlineStr">
        <is>
          <t>The Child-Resistant Opaque Tubes are pre-roll joint tubes built for dispensaries, brands, co-packers, and home rollers who care about compliance, freshness, and discretion. Sized to fit standard 109mm (4.3 inches) cones …</t>
        </is>
      </c>
      <c r="D170" s="9" t="inlineStr">
        <is>
          <t>Quantity: 100 pack</t>
        </is>
      </c>
      <c r="E170" s="13" t="inlineStr"/>
      <c r="F170" s="13" t="inlineStr">
        <is>
          <t>Packaging</t>
        </is>
      </c>
      <c r="G170" s="11" t="n">
        <v>100</v>
      </c>
      <c r="H170" s="13" t="inlineStr">
        <is>
          <t>pcs</t>
        </is>
      </c>
      <c r="I170" s="10" t="n">
        <v>29.99</v>
      </c>
      <c r="J170" s="10" t="inlineStr"/>
      <c r="K170" s="12">
        <f>IFERROR(I170/G170,"")</f>
        <v/>
      </c>
      <c r="L170" s="12">
        <f>IFERROR(J170/G170,"")</f>
        <v/>
      </c>
      <c r="M170" s="14">
        <f>IFERROR((I170-J170)/I170,"")</f>
        <v/>
      </c>
      <c r="N170" s="10" t="n">
        <v>12</v>
      </c>
      <c r="O170" s="11" t="n">
        <v>100</v>
      </c>
      <c r="P170" s="12">
        <f>IFERROR(N170/O170,"")</f>
        <v/>
      </c>
      <c r="Q170" s="10" t="inlineStr"/>
      <c r="R170" s="11" t="inlineStr"/>
      <c r="S170" s="12">
        <f>IFERROR(Q170/R170,"")</f>
        <v/>
      </c>
      <c r="T170" s="13" t="inlineStr">
        <is>
          <t>Observed</t>
        </is>
      </c>
      <c r="U170" s="9" t="inlineStr">
        <is>
          <t>https://www.bagking.com/products/pre-roll-tubes</t>
        </is>
      </c>
      <c r="V170" s="9" t="inlineStr">
        <is>
          <t>Bag King indicates $0.12 each and sold in packs of 100 (case quantity 1000).</t>
        </is>
      </c>
      <c r="W170" s="13">
        <f>IF(G170="","",IF(G170&lt;=Assumptions!$B$9,Assumptions!$C$9,IF(G170&lt;=Assumptions!$B$10,Assumptions!$C$10,IF(G170&lt;=Assumptions!$B$11,Assumptions!$C$11,Assumptions!$C$12))))</f>
        <v/>
      </c>
      <c r="X170" s="13">
        <f>IF(F170="Branded",Assumptions!$B$5,IF(OR(F170="Packaging",F170="Bags"),Assumptions!$B$4,1))</f>
        <v/>
      </c>
      <c r="Y170" s="14">
        <f>IFERROR(VLOOKUP(F170,Assumptions!$A$16:$C$20,2,FALSE),0.40)</f>
        <v/>
      </c>
      <c r="Z170" s="14">
        <f>IFERROR(VLOOKUP(F170,Assumptions!$A$16:$C$20,3,FALSE),0.30)</f>
        <v/>
      </c>
      <c r="AA170" s="12">
        <f>IF(P170&lt;&gt;"",P170*X170*W170,IF(L170&lt;&gt;"",L170/(1-Y170),K170))</f>
        <v/>
      </c>
      <c r="AB170" s="12">
        <f>IF(L170&lt;&gt;"",L170/(1-Z170),"")</f>
        <v/>
      </c>
      <c r="AC170" s="12">
        <f>IF(AB170="",AA170,MAX(AA170,AB170))</f>
        <v/>
      </c>
      <c r="AD170" s="10">
        <f>IF(AC170="","",AC170*G170)</f>
        <v/>
      </c>
      <c r="AE170" s="10">
        <f>IF(AD170="","",ROUNDUP(AD170,0)-0.01)</f>
        <v/>
      </c>
      <c r="AF170" s="9">
        <f>IF(P170&lt;&gt;"","Competitor-based",IF(L170&lt;&gt;"","Cost+margin","Needs review"))</f>
        <v/>
      </c>
    </row>
    <row r="171" ht="46" customHeight="1">
      <c r="A171" s="13" t="inlineStr">
        <is>
          <t>child-resistant-opaque-tubes-with-hinged-lid-116mm-capacity-fits-109mm-cones-1-3g-size-airtight-discreet-storage-100-pack</t>
        </is>
      </c>
      <c r="B171" s="9" t="inlineStr">
        <is>
          <t>Child-Resistant Opaque Tubes with Hinged Lid – 116mm Capacity, Fits 109mm Cones, 1.3g Size – Airtight &amp; Discreet Storage – 100 Pack</t>
        </is>
      </c>
      <c r="C171" s="9" t="inlineStr">
        <is>
          <t>The Child-Resistant Opaque Tubes are pre-roll joint tubes built for dispensaries, brands, co-packers, and home rollers who care about compliance, freshness, and discretion. Sized to fit standard 109mm (4.3 inches) cones …</t>
        </is>
      </c>
      <c r="D171" s="9" t="inlineStr">
        <is>
          <t>Quantity: 1200 pack</t>
        </is>
      </c>
      <c r="E171" s="13" t="inlineStr"/>
      <c r="F171" s="13" t="inlineStr">
        <is>
          <t>Packaging</t>
        </is>
      </c>
      <c r="G171" s="11" t="n">
        <v>1200</v>
      </c>
      <c r="H171" s="13" t="inlineStr">
        <is>
          <t>pcs</t>
        </is>
      </c>
      <c r="I171" s="10" t="n">
        <v>59.99</v>
      </c>
      <c r="J171" s="10" t="inlineStr"/>
      <c r="K171" s="12">
        <f>IFERROR(I171/G171,"")</f>
        <v/>
      </c>
      <c r="L171" s="12">
        <f>IFERROR(J171/G171,"")</f>
        <v/>
      </c>
      <c r="M171" s="14">
        <f>IFERROR((I171-J171)/I171,"")</f>
        <v/>
      </c>
      <c r="N171" s="10" t="n">
        <v>69</v>
      </c>
      <c r="O171" s="11" t="n">
        <v>1000</v>
      </c>
      <c r="P171" s="12">
        <f>IFERROR(N171/O171,"")</f>
        <v/>
      </c>
      <c r="Q171" s="10" t="inlineStr"/>
      <c r="R171" s="11" t="inlineStr"/>
      <c r="S171" s="12">
        <f>IFERROR(Q171/R171,"")</f>
        <v/>
      </c>
      <c r="T171" s="13" t="inlineStr">
        <is>
          <t>Observed</t>
        </is>
      </c>
      <c r="U171" s="9" t="inlineStr">
        <is>
          <t>https://www.biohazardinc.com/products/pre-roll-child-resistant-opaque-tubes-hinged-lid</t>
        </is>
      </c>
      <c r="V171" s="9" t="inlineStr">
        <is>
          <t>116mm black tubes, 1000ct listed at $69.00; page shows tiered pricing for larger case quantities.</t>
        </is>
      </c>
      <c r="W171" s="13">
        <f>IF(G171="","",IF(G171&lt;=Assumptions!$B$9,Assumptions!$C$9,IF(G171&lt;=Assumptions!$B$10,Assumptions!$C$10,IF(G171&lt;=Assumptions!$B$11,Assumptions!$C$11,Assumptions!$C$12))))</f>
        <v/>
      </c>
      <c r="X171" s="13">
        <f>IF(F171="Branded",Assumptions!$B$5,IF(OR(F171="Packaging",F171="Bags"),Assumptions!$B$4,1))</f>
        <v/>
      </c>
      <c r="Y171" s="14">
        <f>IFERROR(VLOOKUP(F171,Assumptions!$A$16:$C$20,2,FALSE),0.40)</f>
        <v/>
      </c>
      <c r="Z171" s="14">
        <f>IFERROR(VLOOKUP(F171,Assumptions!$A$16:$C$20,3,FALSE),0.30)</f>
        <v/>
      </c>
      <c r="AA171" s="12">
        <f>IF(P171&lt;&gt;"",P171*X171*W171,IF(L171&lt;&gt;"",L171/(1-Y171),K171))</f>
        <v/>
      </c>
      <c r="AB171" s="12">
        <f>IF(L171&lt;&gt;"",L171/(1-Z171),"")</f>
        <v/>
      </c>
      <c r="AC171" s="12">
        <f>IF(AB171="",AA171,MAX(AA171,AB171))</f>
        <v/>
      </c>
      <c r="AD171" s="10">
        <f>IF(AC171="","",AC171*G171)</f>
        <v/>
      </c>
      <c r="AE171" s="10">
        <f>IF(AD171="","",ROUNDUP(AD171,0)-0.01)</f>
        <v/>
      </c>
      <c r="AF171" s="9">
        <f>IF(P171&lt;&gt;"","Competitor-based",IF(L171&lt;&gt;"","Cost+margin","Needs review"))</f>
        <v/>
      </c>
    </row>
    <row r="172" ht="46" customHeight="1">
      <c r="A172" s="13" t="inlineStr">
        <is>
          <t>kraft-kitchen-sheet-ptfe-rolls</t>
        </is>
      </c>
      <c r="B172" s="9" t="inlineStr">
        <is>
          <t>Nonstick PTFE Rolls</t>
        </is>
      </c>
      <c r="C172" s="9" t="inlineStr">
        <is>
          <t>Oil Slick Nonstick PTFE Rolls are lab-grade fluoropolymer film for extractors, rosin heads, and makers who are tired of losing product to sticky paper. Built for BHO collection, rosin handling, solventless staging, and c…</t>
        </is>
      </c>
      <c r="D172" s="9" t="inlineStr">
        <is>
          <t>Make a choice: Single Nonstick PTFE Roll 16"x48"</t>
        </is>
      </c>
      <c r="E172" s="13" t="inlineStr">
        <is>
          <t>SHEET-01</t>
        </is>
      </c>
      <c r="F172" s="13" t="inlineStr">
        <is>
          <t>Branded</t>
        </is>
      </c>
      <c r="G172" s="11" t="n">
        <v>1</v>
      </c>
      <c r="H172" s="13" t="inlineStr">
        <is>
          <t>ft</t>
        </is>
      </c>
      <c r="I172" s="10" t="n">
        <v>9.99</v>
      </c>
      <c r="J172" s="10" t="n">
        <v>4.14</v>
      </c>
      <c r="K172" s="12">
        <f>IFERROR(I172/G172,"")</f>
        <v/>
      </c>
      <c r="L172" s="12">
        <f>IFERROR(J172/G172,"")</f>
        <v/>
      </c>
      <c r="M172" s="14">
        <f>IFERROR((I172-J172)/I172,"")</f>
        <v/>
      </c>
      <c r="N172" s="10" t="inlineStr"/>
      <c r="O172" s="11" t="inlineStr"/>
      <c r="P172" s="12">
        <f>IFERROR(N172/O172,"")</f>
        <v/>
      </c>
      <c r="Q172" s="10" t="inlineStr"/>
      <c r="R172" s="11" t="inlineStr"/>
      <c r="S172" s="12">
        <f>IFERROR(Q172/R172,"")</f>
        <v/>
      </c>
      <c r="T172" s="13" t="inlineStr"/>
      <c r="U172" s="9" t="inlineStr"/>
      <c r="V172" s="9" t="inlineStr"/>
      <c r="W172" s="13">
        <f>IF(G172="","",IF(G172&lt;=Assumptions!$B$9,Assumptions!$C$9,IF(G172&lt;=Assumptions!$B$10,Assumptions!$C$10,IF(G172&lt;=Assumptions!$B$11,Assumptions!$C$11,Assumptions!$C$12))))</f>
        <v/>
      </c>
      <c r="X172" s="13">
        <f>IF(F172="Branded",Assumptions!$B$5,IF(OR(F172="Packaging",F172="Bags"),Assumptions!$B$4,1))</f>
        <v/>
      </c>
      <c r="Y172" s="14">
        <f>IFERROR(VLOOKUP(F172,Assumptions!$A$16:$C$20,2,FALSE),0.40)</f>
        <v/>
      </c>
      <c r="Z172" s="14">
        <f>IFERROR(VLOOKUP(F172,Assumptions!$A$16:$C$20,3,FALSE),0.30)</f>
        <v/>
      </c>
      <c r="AA172" s="12">
        <f>IF(P172&lt;&gt;"",P172*X172*W172,IF(L172&lt;&gt;"",L172/(1-Y172),K172))</f>
        <v/>
      </c>
      <c r="AB172" s="12">
        <f>IF(L172&lt;&gt;"",L172/(1-Z172),"")</f>
        <v/>
      </c>
      <c r="AC172" s="12">
        <f>IF(AB172="",AA172,MAX(AA172,AB172))</f>
        <v/>
      </c>
      <c r="AD172" s="10">
        <f>IF(AC172="","",AC172*G172)</f>
        <v/>
      </c>
      <c r="AE172" s="10">
        <f>IF(AD172="","",ROUNDUP(AD172,0)-0.01)</f>
        <v/>
      </c>
      <c r="AF172" s="9">
        <f>IF(P172&lt;&gt;"","Competitor-based",IF(L172&lt;&gt;"","Cost+margin","Needs review"))</f>
        <v/>
      </c>
    </row>
    <row r="173" ht="46" customHeight="1">
      <c r="A173" s="13" t="inlineStr">
        <is>
          <t>kraft-kitchen-sheet-ptfe-rolls</t>
        </is>
      </c>
      <c r="B173" s="9" t="inlineStr">
        <is>
          <t>Nonstick PTFE Rolls</t>
        </is>
      </c>
      <c r="C173" s="9" t="inlineStr">
        <is>
          <t>Oil Slick Nonstick PTFE Rolls are lab-grade fluoropolymer film for extractors, rosin heads, and makers who are tired of losing product to sticky paper. Built for BHO collection, rosin handling, solventless staging, and c…</t>
        </is>
      </c>
      <c r="D173" s="9" t="inlineStr">
        <is>
          <t>Make a choice: BULK.07mm 50 foot roll</t>
        </is>
      </c>
      <c r="E173" s="13" t="inlineStr">
        <is>
          <t>BULKSHEET-01</t>
        </is>
      </c>
      <c r="F173" s="13" t="inlineStr">
        <is>
          <t>Branded</t>
        </is>
      </c>
      <c r="G173" s="11" t="n">
        <v>50</v>
      </c>
      <c r="H173" s="13" t="inlineStr">
        <is>
          <t>ft</t>
        </is>
      </c>
      <c r="I173" s="10" t="n">
        <v>79.98999999999999</v>
      </c>
      <c r="J173" s="10" t="n">
        <v>39.72</v>
      </c>
      <c r="K173" s="12">
        <f>IFERROR(I173/G173,"")</f>
        <v/>
      </c>
      <c r="L173" s="12">
        <f>IFERROR(J173/G173,"")</f>
        <v/>
      </c>
      <c r="M173" s="14">
        <f>IFERROR((I173-J173)/I173,"")</f>
        <v/>
      </c>
      <c r="N173" s="10" t="inlineStr"/>
      <c r="O173" s="11" t="inlineStr"/>
      <c r="P173" s="12">
        <f>IFERROR(N173/O173,"")</f>
        <v/>
      </c>
      <c r="Q173" s="10" t="inlineStr"/>
      <c r="R173" s="11" t="inlineStr"/>
      <c r="S173" s="12">
        <f>IFERROR(Q173/R173,"")</f>
        <v/>
      </c>
      <c r="T173" s="13" t="inlineStr"/>
      <c r="U173" s="9" t="inlineStr"/>
      <c r="V173" s="9" t="inlineStr"/>
      <c r="W173" s="13">
        <f>IF(G173="","",IF(G173&lt;=Assumptions!$B$9,Assumptions!$C$9,IF(G173&lt;=Assumptions!$B$10,Assumptions!$C$10,IF(G173&lt;=Assumptions!$B$11,Assumptions!$C$11,Assumptions!$C$12))))</f>
        <v/>
      </c>
      <c r="X173" s="13">
        <f>IF(F173="Branded",Assumptions!$B$5,IF(OR(F173="Packaging",F173="Bags"),Assumptions!$B$4,1))</f>
        <v/>
      </c>
      <c r="Y173" s="14">
        <f>IFERROR(VLOOKUP(F173,Assumptions!$A$16:$C$20,2,FALSE),0.40)</f>
        <v/>
      </c>
      <c r="Z173" s="14">
        <f>IFERROR(VLOOKUP(F173,Assumptions!$A$16:$C$20,3,FALSE),0.30)</f>
        <v/>
      </c>
      <c r="AA173" s="12">
        <f>IF(P173&lt;&gt;"",P173*X173*W173,IF(L173&lt;&gt;"",L173/(1-Y173),K173))</f>
        <v/>
      </c>
      <c r="AB173" s="12">
        <f>IF(L173&lt;&gt;"",L173/(1-Z173),"")</f>
        <v/>
      </c>
      <c r="AC173" s="12">
        <f>IF(AB173="",AA173,MAX(AA173,AB173))</f>
        <v/>
      </c>
      <c r="AD173" s="10">
        <f>IF(AC173="","",AC173*G173)</f>
        <v/>
      </c>
      <c r="AE173" s="10">
        <f>IF(AD173="","",ROUNDUP(AD173,0)-0.01)</f>
        <v/>
      </c>
      <c r="AF173" s="9">
        <f>IF(P173&lt;&gt;"","Competitor-based",IF(L173&lt;&gt;"","Cost+margin","Needs review"))</f>
        <v/>
      </c>
    </row>
    <row r="174" ht="46" customHeight="1">
      <c r="A174" s="13" t="inlineStr">
        <is>
          <t>kraft-kitchen-sheet-ptfe-rolls</t>
        </is>
      </c>
      <c r="B174" s="9" t="inlineStr">
        <is>
          <t>Nonstick PTFE Rolls</t>
        </is>
      </c>
      <c r="C174" s="9" t="inlineStr">
        <is>
          <t>Oil Slick Nonstick PTFE Rolls are lab-grade fluoropolymer film for extractors, rosin heads, and makers who are tired of losing product to sticky paper. Built for BHO collection, rosin handling, solventless staging, and c…</t>
        </is>
      </c>
      <c r="D174" s="9" t="inlineStr">
        <is>
          <t>Make a choice: BULK .07mm 300 foot roll</t>
        </is>
      </c>
      <c r="E174" s="13" t="inlineStr">
        <is>
          <t>BULKSHEET-02</t>
        </is>
      </c>
      <c r="F174" s="13" t="inlineStr">
        <is>
          <t>Branded</t>
        </is>
      </c>
      <c r="G174" s="11" t="n">
        <v>300</v>
      </c>
      <c r="H174" s="13" t="inlineStr">
        <is>
          <t>ft</t>
        </is>
      </c>
      <c r="I174" s="10" t="n">
        <v>199.99</v>
      </c>
      <c r="J174" s="10" t="n">
        <v>243.6</v>
      </c>
      <c r="K174" s="12">
        <f>IFERROR(I174/G174,"")</f>
        <v/>
      </c>
      <c r="L174" s="12">
        <f>IFERROR(J174/G174,"")</f>
        <v/>
      </c>
      <c r="M174" s="14">
        <f>IFERROR((I174-J174)/I174,"")</f>
        <v/>
      </c>
      <c r="N174" s="10" t="inlineStr"/>
      <c r="O174" s="11" t="inlineStr"/>
      <c r="P174" s="12">
        <f>IFERROR(N174/O174,"")</f>
        <v/>
      </c>
      <c r="Q174" s="10" t="inlineStr"/>
      <c r="R174" s="11" t="inlineStr"/>
      <c r="S174" s="12">
        <f>IFERROR(Q174/R174,"")</f>
        <v/>
      </c>
      <c r="T174" s="13" t="inlineStr"/>
      <c r="U174" s="9" t="inlineStr"/>
      <c r="V174" s="9" t="inlineStr"/>
      <c r="W174" s="13">
        <f>IF(G174="","",IF(G174&lt;=Assumptions!$B$9,Assumptions!$C$9,IF(G174&lt;=Assumptions!$B$10,Assumptions!$C$10,IF(G174&lt;=Assumptions!$B$11,Assumptions!$C$11,Assumptions!$C$12))))</f>
        <v/>
      </c>
      <c r="X174" s="13">
        <f>IF(F174="Branded",Assumptions!$B$5,IF(OR(F174="Packaging",F174="Bags"),Assumptions!$B$4,1))</f>
        <v/>
      </c>
      <c r="Y174" s="14">
        <f>IFERROR(VLOOKUP(F174,Assumptions!$A$16:$C$20,2,FALSE),0.40)</f>
        <v/>
      </c>
      <c r="Z174" s="14">
        <f>IFERROR(VLOOKUP(F174,Assumptions!$A$16:$C$20,3,FALSE),0.30)</f>
        <v/>
      </c>
      <c r="AA174" s="12">
        <f>IF(P174&lt;&gt;"",P174*X174*W174,IF(L174&lt;&gt;"",L174/(1-Y174),K174))</f>
        <v/>
      </c>
      <c r="AB174" s="12">
        <f>IF(L174&lt;&gt;"",L174/(1-Z174),"")</f>
        <v/>
      </c>
      <c r="AC174" s="12">
        <f>IF(AB174="",AA174,MAX(AA174,AB174))</f>
        <v/>
      </c>
      <c r="AD174" s="10">
        <f>IF(AC174="","",AC174*G174)</f>
        <v/>
      </c>
      <c r="AE174" s="10">
        <f>IF(AD174="","",ROUNDUP(AD174,0)-0.01)</f>
        <v/>
      </c>
      <c r="AF174" s="9">
        <f>IF(P174&lt;&gt;"","Competitor-based",IF(L174&lt;&gt;"","Cost+margin","Needs review"))</f>
        <v/>
      </c>
    </row>
    <row r="175" ht="46" customHeight="1">
      <c r="A175" s="13" t="inlineStr">
        <is>
          <t>kraft-kitchen-sheet-ptfe-rolls</t>
        </is>
      </c>
      <c r="B175" s="9" t="inlineStr">
        <is>
          <t>Nonstick PTFE Rolls</t>
        </is>
      </c>
      <c r="C175" s="9" t="inlineStr">
        <is>
          <t>Oil Slick Nonstick PTFE Rolls are lab-grade fluoropolymer film for extractors, rosin heads, and makers who are tired of losing product to sticky paper. Built for BHO collection, rosin handling, solventless staging, and c…</t>
        </is>
      </c>
      <c r="D175" s="9" t="inlineStr">
        <is>
          <t>Make a choice: Bulk 0.1mm 50ft roll</t>
        </is>
      </c>
      <c r="E175" s="13" t="inlineStr">
        <is>
          <t>BULKSHEET-03</t>
        </is>
      </c>
      <c r="F175" s="13" t="inlineStr">
        <is>
          <t>Branded</t>
        </is>
      </c>
      <c r="G175" s="11" t="n">
        <v>50</v>
      </c>
      <c r="H175" s="13" t="inlineStr">
        <is>
          <t>ft</t>
        </is>
      </c>
      <c r="I175" s="10" t="n">
        <v>79.98999999999999</v>
      </c>
      <c r="J175" s="10" t="n">
        <v>72.23999999999999</v>
      </c>
      <c r="K175" s="12">
        <f>IFERROR(I175/G175,"")</f>
        <v/>
      </c>
      <c r="L175" s="12">
        <f>IFERROR(J175/G175,"")</f>
        <v/>
      </c>
      <c r="M175" s="14">
        <f>IFERROR((I175-J175)/I175,"")</f>
        <v/>
      </c>
      <c r="N175" s="10" t="inlineStr"/>
      <c r="O175" s="11" t="inlineStr"/>
      <c r="P175" s="12">
        <f>IFERROR(N175/O175,"")</f>
        <v/>
      </c>
      <c r="Q175" s="10" t="inlineStr"/>
      <c r="R175" s="11" t="inlineStr"/>
      <c r="S175" s="12">
        <f>IFERROR(Q175/R175,"")</f>
        <v/>
      </c>
      <c r="T175" s="13" t="inlineStr"/>
      <c r="U175" s="9" t="inlineStr"/>
      <c r="V175" s="9" t="inlineStr"/>
      <c r="W175" s="13">
        <f>IF(G175="","",IF(G175&lt;=Assumptions!$B$9,Assumptions!$C$9,IF(G175&lt;=Assumptions!$B$10,Assumptions!$C$10,IF(G175&lt;=Assumptions!$B$11,Assumptions!$C$11,Assumptions!$C$12))))</f>
        <v/>
      </c>
      <c r="X175" s="13">
        <f>IF(F175="Branded",Assumptions!$B$5,IF(OR(F175="Packaging",F175="Bags"),Assumptions!$B$4,1))</f>
        <v/>
      </c>
      <c r="Y175" s="14">
        <f>IFERROR(VLOOKUP(F175,Assumptions!$A$16:$C$20,2,FALSE),0.40)</f>
        <v/>
      </c>
      <c r="Z175" s="14">
        <f>IFERROR(VLOOKUP(F175,Assumptions!$A$16:$C$20,3,FALSE),0.30)</f>
        <v/>
      </c>
      <c r="AA175" s="12">
        <f>IF(P175&lt;&gt;"",P175*X175*W175,IF(L175&lt;&gt;"",L175/(1-Y175),K175))</f>
        <v/>
      </c>
      <c r="AB175" s="12">
        <f>IF(L175&lt;&gt;"",L175/(1-Z175),"")</f>
        <v/>
      </c>
      <c r="AC175" s="12">
        <f>IF(AB175="",AA175,MAX(AA175,AB175))</f>
        <v/>
      </c>
      <c r="AD175" s="10">
        <f>IF(AC175="","",AC175*G175)</f>
        <v/>
      </c>
      <c r="AE175" s="10">
        <f>IF(AD175="","",ROUNDUP(AD175,0)-0.01)</f>
        <v/>
      </c>
      <c r="AF175" s="9">
        <f>IF(P175&lt;&gt;"","Competitor-based",IF(L175&lt;&gt;"","Cost+margin","Needs review"))</f>
        <v/>
      </c>
    </row>
    <row r="176" ht="46" customHeight="1">
      <c r="A176" s="13" t="inlineStr">
        <is>
          <t>kraft-kitchen-sheet-ptfe-rolls</t>
        </is>
      </c>
      <c r="B176" s="9" t="inlineStr">
        <is>
          <t>Nonstick PTFE Rolls</t>
        </is>
      </c>
      <c r="C176" s="9" t="inlineStr">
        <is>
          <t>Oil Slick Nonstick PTFE Rolls are lab-grade fluoropolymer film for extractors, rosin heads, and makers who are tired of losing product to sticky paper. Built for BHO collection, rosin handling, solventless staging, and c…</t>
        </is>
      </c>
      <c r="D176" s="9" t="inlineStr">
        <is>
          <t>Make a choice: 24in Xtrawide Bulk 0.08mm 50ft roll</t>
        </is>
      </c>
      <c r="E176" s="13" t="inlineStr">
        <is>
          <t>BULKSHEET-04</t>
        </is>
      </c>
      <c r="F176" s="13" t="inlineStr">
        <is>
          <t>Branded</t>
        </is>
      </c>
      <c r="G176" s="11" t="n">
        <v>50</v>
      </c>
      <c r="H176" s="13" t="inlineStr">
        <is>
          <t>ft</t>
        </is>
      </c>
      <c r="I176" s="10" t="n">
        <v>49.99</v>
      </c>
      <c r="J176" s="10" t="inlineStr"/>
      <c r="K176" s="12">
        <f>IFERROR(I176/G176,"")</f>
        <v/>
      </c>
      <c r="L176" s="12">
        <f>IFERROR(J176/G176,"")</f>
        <v/>
      </c>
      <c r="M176" s="14">
        <f>IFERROR((I176-J176)/I176,"")</f>
        <v/>
      </c>
      <c r="N176" s="10" t="inlineStr"/>
      <c r="O176" s="11" t="inlineStr"/>
      <c r="P176" s="12">
        <f>IFERROR(N176/O176,"")</f>
        <v/>
      </c>
      <c r="Q176" s="10" t="inlineStr"/>
      <c r="R176" s="11" t="inlineStr"/>
      <c r="S176" s="12">
        <f>IFERROR(Q176/R176,"")</f>
        <v/>
      </c>
      <c r="T176" s="13" t="inlineStr"/>
      <c r="U176" s="9" t="inlineStr"/>
      <c r="V176" s="9" t="inlineStr"/>
      <c r="W176" s="13">
        <f>IF(G176="","",IF(G176&lt;=Assumptions!$B$9,Assumptions!$C$9,IF(G176&lt;=Assumptions!$B$10,Assumptions!$C$10,IF(G176&lt;=Assumptions!$B$11,Assumptions!$C$11,Assumptions!$C$12))))</f>
        <v/>
      </c>
      <c r="X176" s="13">
        <f>IF(F176="Branded",Assumptions!$B$5,IF(OR(F176="Packaging",F176="Bags"),Assumptions!$B$4,1))</f>
        <v/>
      </c>
      <c r="Y176" s="14">
        <f>IFERROR(VLOOKUP(F176,Assumptions!$A$16:$C$20,2,FALSE),0.40)</f>
        <v/>
      </c>
      <c r="Z176" s="14">
        <f>IFERROR(VLOOKUP(F176,Assumptions!$A$16:$C$20,3,FALSE),0.30)</f>
        <v/>
      </c>
      <c r="AA176" s="12">
        <f>IF(P176&lt;&gt;"",P176*X176*W176,IF(L176&lt;&gt;"",L176/(1-Y176),K176))</f>
        <v/>
      </c>
      <c r="AB176" s="12">
        <f>IF(L176&lt;&gt;"",L176/(1-Z176),"")</f>
        <v/>
      </c>
      <c r="AC176" s="12">
        <f>IF(AB176="",AA176,MAX(AA176,AB176))</f>
        <v/>
      </c>
      <c r="AD176" s="10">
        <f>IF(AC176="","",AC176*G176)</f>
        <v/>
      </c>
      <c r="AE176" s="10">
        <f>IF(AD176="","",ROUNDUP(AD176,0)-0.01)</f>
        <v/>
      </c>
      <c r="AF176" s="9">
        <f>IF(P176&lt;&gt;"","Competitor-based",IF(L176&lt;&gt;"","Cost+margin","Needs review"))</f>
        <v/>
      </c>
    </row>
    <row r="177" ht="46" customHeight="1">
      <c r="A177" s="13" t="inlineStr">
        <is>
          <t>oil-slick-1000pcs-mylar-bags</t>
        </is>
      </c>
      <c r="B177" s="9" t="inlineStr">
        <is>
          <t>Oil Slick 1000 PCS Mylar Bags – Reusable Zipper Mylar Bags</t>
        </is>
      </c>
      <c r="C177" s="9" t="inlineStr">
        <is>
          <t>The Oil Slick 1000 PCS Mylar Bags are professional-grade resealable storage bags built for businesses, retailers, and anyone who needs reliable bulk packaging without the markup. Whether you're packaging retail goods, or…</t>
        </is>
      </c>
      <c r="D177" s="9" t="inlineStr">
        <is>
          <t>Size: 3.6x5 / Finish: Black</t>
        </is>
      </c>
      <c r="E177" s="13" t="inlineStr">
        <is>
          <t>m_black_3.6</t>
        </is>
      </c>
      <c r="F177" s="13" t="inlineStr">
        <is>
          <t>Bags</t>
        </is>
      </c>
      <c r="G177" s="11" t="n">
        <v>1000</v>
      </c>
      <c r="H177" s="13" t="inlineStr">
        <is>
          <t>pcs</t>
        </is>
      </c>
      <c r="I177" s="10" t="n">
        <v>52.49</v>
      </c>
      <c r="J177" s="10" t="inlineStr"/>
      <c r="K177" s="12">
        <f>IFERROR(I177/G177,"")</f>
        <v/>
      </c>
      <c r="L177" s="12">
        <f>IFERROR(J177/G177,"")</f>
        <v/>
      </c>
      <c r="M177" s="14">
        <f>IFERROR((I177-J177)/I177,"")</f>
        <v/>
      </c>
      <c r="N177" s="10" t="n">
        <v>79.95</v>
      </c>
      <c r="O177" s="11" t="n">
        <v>1000</v>
      </c>
      <c r="P177" s="12">
        <f>IFERROR(N177/O177,"")</f>
        <v/>
      </c>
      <c r="Q177" s="10" t="inlineStr"/>
      <c r="R177" s="11" t="inlineStr"/>
      <c r="S177" s="12">
        <f>IFERROR(Q177/R177,"")</f>
        <v/>
      </c>
      <c r="T177" s="13" t="inlineStr">
        <is>
          <t>Observed</t>
        </is>
      </c>
      <c r="U177" s="9" t="inlineStr">
        <is>
          <t>https://dragonchewer.com/products/1-8-ounce-gloss-black-clear-mylar-bags-1000-qty</t>
        </is>
      </c>
      <c r="V177" s="9" t="inlineStr">
        <is>
          <t>Product page shows sale price $79.95 for 1000 qty (3.62x5 style).</t>
        </is>
      </c>
      <c r="W177" s="13">
        <f>IF(G177="","",IF(G177&lt;=Assumptions!$B$9,Assumptions!$C$9,IF(G177&lt;=Assumptions!$B$10,Assumptions!$C$10,IF(G177&lt;=Assumptions!$B$11,Assumptions!$C$11,Assumptions!$C$12))))</f>
        <v/>
      </c>
      <c r="X177" s="13">
        <f>IF(F177="Branded",Assumptions!$B$5,IF(OR(F177="Packaging",F177="Bags"),Assumptions!$B$4,1))</f>
        <v/>
      </c>
      <c r="Y177" s="14">
        <f>IFERROR(VLOOKUP(F177,Assumptions!$A$16:$C$20,2,FALSE),0.40)</f>
        <v/>
      </c>
      <c r="Z177" s="14">
        <f>IFERROR(VLOOKUP(F177,Assumptions!$A$16:$C$20,3,FALSE),0.30)</f>
        <v/>
      </c>
      <c r="AA177" s="12">
        <f>IF(P177&lt;&gt;"",P177*X177*W177,IF(L177&lt;&gt;"",L177/(1-Y177),K177))</f>
        <v/>
      </c>
      <c r="AB177" s="12">
        <f>IF(L177&lt;&gt;"",L177/(1-Z177),"")</f>
        <v/>
      </c>
      <c r="AC177" s="12">
        <f>IF(AB177="",AA177,MAX(AA177,AB177))</f>
        <v/>
      </c>
      <c r="AD177" s="10">
        <f>IF(AC177="","",AC177*G177)</f>
        <v/>
      </c>
      <c r="AE177" s="10">
        <f>IF(AD177="","",ROUNDUP(AD177,0)-0.01)</f>
        <v/>
      </c>
      <c r="AF177" s="9">
        <f>IF(P177&lt;&gt;"","Competitor-based",IF(L177&lt;&gt;"","Cost+margin","Needs review"))</f>
        <v/>
      </c>
    </row>
    <row r="178" ht="46" customHeight="1">
      <c r="A178" s="13" t="inlineStr">
        <is>
          <t>oil-slick-1000pcs-mylar-bags</t>
        </is>
      </c>
      <c r="B178" s="9" t="inlineStr">
        <is>
          <t>Oil Slick 1000 PCS Mylar Bags – Reusable Zipper Mylar Bags</t>
        </is>
      </c>
      <c r="C178" s="9" t="inlineStr">
        <is>
          <t>The Oil Slick 1000 PCS Mylar Bags are professional-grade resealable storage bags built for businesses, retailers, and anyone who needs reliable bulk packaging without the markup. Whether you're packaging retail goods, or…</t>
        </is>
      </c>
      <c r="D178" s="9" t="inlineStr">
        <is>
          <t>Size: 3.6x5 / Finish: Black w/ Clear Window</t>
        </is>
      </c>
      <c r="E178" s="13" t="inlineStr">
        <is>
          <t>m_black/w_3.6</t>
        </is>
      </c>
      <c r="F178" s="13" t="inlineStr">
        <is>
          <t>Bags</t>
        </is>
      </c>
      <c r="G178" s="11" t="n">
        <v>1000</v>
      </c>
      <c r="H178" s="13" t="inlineStr">
        <is>
          <t>pcs</t>
        </is>
      </c>
      <c r="I178" s="10" t="n">
        <v>15.99</v>
      </c>
      <c r="J178" s="10" t="inlineStr"/>
      <c r="K178" s="12">
        <f>IFERROR(I178/G178,"")</f>
        <v/>
      </c>
      <c r="L178" s="12">
        <f>IFERROR(J178/G178,"")</f>
        <v/>
      </c>
      <c r="M178" s="14">
        <f>IFERROR((I178-J178)/I178,"")</f>
        <v/>
      </c>
      <c r="N178" s="10" t="n">
        <v>79.95</v>
      </c>
      <c r="O178" s="11" t="n">
        <v>1000</v>
      </c>
      <c r="P178" s="12">
        <f>IFERROR(N178/O178,"")</f>
        <v/>
      </c>
      <c r="Q178" s="10" t="inlineStr"/>
      <c r="R178" s="11" t="inlineStr"/>
      <c r="S178" s="12">
        <f>IFERROR(Q178/R178,"")</f>
        <v/>
      </c>
      <c r="T178" s="13" t="inlineStr">
        <is>
          <t>Observed</t>
        </is>
      </c>
      <c r="U178" s="9" t="inlineStr">
        <is>
          <t>https://dragonchewer.com/products/1-8-ounce-gloss-black-clear-mylar-bags-1000-qty</t>
        </is>
      </c>
      <c r="V178" s="9" t="inlineStr">
        <is>
          <t>Product page shows sale price $79.95 for 1000 qty (3.62x5 style).</t>
        </is>
      </c>
      <c r="W178" s="13">
        <f>IF(G178="","",IF(G178&lt;=Assumptions!$B$9,Assumptions!$C$9,IF(G178&lt;=Assumptions!$B$10,Assumptions!$C$10,IF(G178&lt;=Assumptions!$B$11,Assumptions!$C$11,Assumptions!$C$12))))</f>
        <v/>
      </c>
      <c r="X178" s="13">
        <f>IF(F178="Branded",Assumptions!$B$5,IF(OR(F178="Packaging",F178="Bags"),Assumptions!$B$4,1))</f>
        <v/>
      </c>
      <c r="Y178" s="14">
        <f>IFERROR(VLOOKUP(F178,Assumptions!$A$16:$C$20,2,FALSE),0.40)</f>
        <v/>
      </c>
      <c r="Z178" s="14">
        <f>IFERROR(VLOOKUP(F178,Assumptions!$A$16:$C$20,3,FALSE),0.30)</f>
        <v/>
      </c>
      <c r="AA178" s="12">
        <f>IF(P178&lt;&gt;"",P178*X178*W178,IF(L178&lt;&gt;"",L178/(1-Y178),K178))</f>
        <v/>
      </c>
      <c r="AB178" s="12">
        <f>IF(L178&lt;&gt;"",L178/(1-Z178),"")</f>
        <v/>
      </c>
      <c r="AC178" s="12">
        <f>IF(AB178="",AA178,MAX(AA178,AB178))</f>
        <v/>
      </c>
      <c r="AD178" s="10">
        <f>IF(AC178="","",AC178*G178)</f>
        <v/>
      </c>
      <c r="AE178" s="10">
        <f>IF(AD178="","",ROUNDUP(AD178,0)-0.01)</f>
        <v/>
      </c>
      <c r="AF178" s="9">
        <f>IF(P178&lt;&gt;"","Competitor-based",IF(L178&lt;&gt;"","Cost+margin","Needs review"))</f>
        <v/>
      </c>
    </row>
    <row r="179" ht="46" customHeight="1">
      <c r="A179" s="13" t="inlineStr">
        <is>
          <t>oil-slick-1000pcs-mylar-bags</t>
        </is>
      </c>
      <c r="B179" s="9" t="inlineStr">
        <is>
          <t>Oil Slick 1000 PCS Mylar Bags – Reusable Zipper Mylar Bags</t>
        </is>
      </c>
      <c r="C179" s="9" t="inlineStr">
        <is>
          <t>The Oil Slick 1000 PCS Mylar Bags are professional-grade resealable storage bags built for businesses, retailers, and anyone who needs reliable bulk packaging without the markup. Whether you're packaging retail goods, or…</t>
        </is>
      </c>
      <c r="D179" s="9" t="inlineStr">
        <is>
          <t>Size: 3x4.5 / Finish: Black w/ Clear Window</t>
        </is>
      </c>
      <c r="E179" s="13" t="inlineStr">
        <is>
          <t>m_black/w_3</t>
        </is>
      </c>
      <c r="F179" s="13" t="inlineStr">
        <is>
          <t>Bags</t>
        </is>
      </c>
      <c r="G179" s="11" t="n">
        <v>1000</v>
      </c>
      <c r="H179" s="13" t="inlineStr">
        <is>
          <t>pcs</t>
        </is>
      </c>
      <c r="I179" s="10" t="n">
        <v>24.99</v>
      </c>
      <c r="J179" s="10" t="inlineStr"/>
      <c r="K179" s="12">
        <f>IFERROR(I179/G179,"")</f>
        <v/>
      </c>
      <c r="L179" s="12">
        <f>IFERROR(J179/G179,"")</f>
        <v/>
      </c>
      <c r="M179" s="14">
        <f>IFERROR((I179-J179)/I179,"")</f>
        <v/>
      </c>
      <c r="N179" s="10" t="n">
        <v>59.95</v>
      </c>
      <c r="O179" s="11" t="n">
        <v>1000</v>
      </c>
      <c r="P179" s="12">
        <f>IFERROR(N179/O179,"")</f>
        <v/>
      </c>
      <c r="Q179" s="10" t="inlineStr"/>
      <c r="R179" s="11" t="inlineStr"/>
      <c r="S179" s="12">
        <f>IFERROR(Q179/R179,"")</f>
        <v/>
      </c>
      <c r="T179" s="13" t="inlineStr">
        <is>
          <t>Observed</t>
        </is>
      </c>
      <c r="U179" s="9" t="inlineStr">
        <is>
          <t>https://dragonchewer.com/collections/1000-qty-mylar-bags</t>
        </is>
      </c>
      <c r="V179" s="9" t="inlineStr">
        <is>
          <t>Listing shows 1 Gram Gloss Black &amp; Clear Mylar Bags (1000 qty) as low as $59.95/case ($0.05/unit).</t>
        </is>
      </c>
      <c r="W179" s="13">
        <f>IF(G179="","",IF(G179&lt;=Assumptions!$B$9,Assumptions!$C$9,IF(G179&lt;=Assumptions!$B$10,Assumptions!$C$10,IF(G179&lt;=Assumptions!$B$11,Assumptions!$C$11,Assumptions!$C$12))))</f>
        <v/>
      </c>
      <c r="X179" s="13">
        <f>IF(F179="Branded",Assumptions!$B$5,IF(OR(F179="Packaging",F179="Bags"),Assumptions!$B$4,1))</f>
        <v/>
      </c>
      <c r="Y179" s="14">
        <f>IFERROR(VLOOKUP(F179,Assumptions!$A$16:$C$20,2,FALSE),0.40)</f>
        <v/>
      </c>
      <c r="Z179" s="14">
        <f>IFERROR(VLOOKUP(F179,Assumptions!$A$16:$C$20,3,FALSE),0.30)</f>
        <v/>
      </c>
      <c r="AA179" s="12">
        <f>IF(P179&lt;&gt;"",P179*X179*W179,IF(L179&lt;&gt;"",L179/(1-Y179),K179))</f>
        <v/>
      </c>
      <c r="AB179" s="12">
        <f>IF(L179&lt;&gt;"",L179/(1-Z179),"")</f>
        <v/>
      </c>
      <c r="AC179" s="12">
        <f>IF(AB179="",AA179,MAX(AA179,AB179))</f>
        <v/>
      </c>
      <c r="AD179" s="10">
        <f>IF(AC179="","",AC179*G179)</f>
        <v/>
      </c>
      <c r="AE179" s="10">
        <f>IF(AD179="","",ROUNDUP(AD179,0)-0.01)</f>
        <v/>
      </c>
      <c r="AF179" s="9">
        <f>IF(P179&lt;&gt;"","Competitor-based",IF(L179&lt;&gt;"","Cost+margin","Needs review"))</f>
        <v/>
      </c>
    </row>
    <row r="180" ht="46" customHeight="1">
      <c r="A180" s="13" t="inlineStr">
        <is>
          <t>oil-slick-1000pcs-mylar-bags</t>
        </is>
      </c>
      <c r="B180" s="9" t="inlineStr">
        <is>
          <t>Oil Slick 1000 PCS Mylar Bags – Reusable Zipper Mylar Bags</t>
        </is>
      </c>
      <c r="C180" s="9" t="inlineStr">
        <is>
          <t>The Oil Slick 1000 PCS Mylar Bags are professional-grade resealable storage bags built for businesses, retailers, and anyone who needs reliable bulk packaging without the markup. Whether you're packaging retail goods, or…</t>
        </is>
      </c>
      <c r="D180" s="9" t="inlineStr">
        <is>
          <t>Size: 4x6.5 / Finish: Black</t>
        </is>
      </c>
      <c r="E180" s="13" t="inlineStr">
        <is>
          <t>m_black_4_6.5</t>
        </is>
      </c>
      <c r="F180" s="13" t="inlineStr">
        <is>
          <t>Bags</t>
        </is>
      </c>
      <c r="G180" s="11" t="n">
        <v>1000</v>
      </c>
      <c r="H180" s="13" t="inlineStr">
        <is>
          <t>pcs</t>
        </is>
      </c>
      <c r="I180" s="10" t="n">
        <v>19.99</v>
      </c>
      <c r="J180" s="10" t="inlineStr"/>
      <c r="K180" s="12">
        <f>IFERROR(I180/G180,"")</f>
        <v/>
      </c>
      <c r="L180" s="12">
        <f>IFERROR(J180/G180,"")</f>
        <v/>
      </c>
      <c r="M180" s="14">
        <f>IFERROR((I180-J180)/I180,"")</f>
        <v/>
      </c>
      <c r="N180" s="10" t="n">
        <v>79.95</v>
      </c>
      <c r="O180" s="11" t="n">
        <v>1000</v>
      </c>
      <c r="P180" s="12">
        <f>IFERROR(N180/O180,"")</f>
        <v/>
      </c>
      <c r="Q180" s="10" t="n">
        <v>44.81</v>
      </c>
      <c r="R180" s="11" t="n">
        <v>1000</v>
      </c>
      <c r="S180" s="12">
        <f>IFERROR(Q180/R180,"")</f>
        <v/>
      </c>
      <c r="T180" s="13" t="inlineStr">
        <is>
          <t>Observed</t>
        </is>
      </c>
      <c r="U180" s="9" t="inlineStr">
        <is>
          <t>https://dragonchewer.com/collections/1000-qty-mylar-bags</t>
        </is>
      </c>
      <c r="V180" s="9" t="inlineStr">
        <is>
          <t>Listing shows 1/4 Ounce Matte Black &amp; Clear Mylar Bags (1000 qty) as low as $79.95/case ($0.07/unit). | Low: Sale price observed on product page; may be clearance / promotional.</t>
        </is>
      </c>
      <c r="W180" s="13">
        <f>IF(G180="","",IF(G180&lt;=Assumptions!$B$9,Assumptions!$C$9,IF(G180&lt;=Assumptions!$B$10,Assumptions!$C$10,IF(G180&lt;=Assumptions!$B$11,Assumptions!$C$11,Assumptions!$C$12))))</f>
        <v/>
      </c>
      <c r="X180" s="13">
        <f>IF(F180="Branded",Assumptions!$B$5,IF(OR(F180="Packaging",F180="Bags"),Assumptions!$B$4,1))</f>
        <v/>
      </c>
      <c r="Y180" s="14">
        <f>IFERROR(VLOOKUP(F180,Assumptions!$A$16:$C$20,2,FALSE),0.40)</f>
        <v/>
      </c>
      <c r="Z180" s="14">
        <f>IFERROR(VLOOKUP(F180,Assumptions!$A$16:$C$20,3,FALSE),0.30)</f>
        <v/>
      </c>
      <c r="AA180" s="12">
        <f>IF(P180&lt;&gt;"",P180*X180*W180,IF(L180&lt;&gt;"",L180/(1-Y180),K180))</f>
        <v/>
      </c>
      <c r="AB180" s="12">
        <f>IF(L180&lt;&gt;"",L180/(1-Z180),"")</f>
        <v/>
      </c>
      <c r="AC180" s="12">
        <f>IF(AB180="",AA180,MAX(AA180,AB180))</f>
        <v/>
      </c>
      <c r="AD180" s="10">
        <f>IF(AC180="","",AC180*G180)</f>
        <v/>
      </c>
      <c r="AE180" s="10">
        <f>IF(AD180="","",ROUNDUP(AD180,0)-0.01)</f>
        <v/>
      </c>
      <c r="AF180" s="9">
        <f>IF(P180&lt;&gt;"","Competitor-based",IF(L180&lt;&gt;"","Cost+margin","Needs review"))</f>
        <v/>
      </c>
    </row>
    <row r="181" ht="46" customHeight="1">
      <c r="A181" s="13" t="inlineStr">
        <is>
          <t>oil-slick-1000pcs-mylar-bags</t>
        </is>
      </c>
      <c r="B181" s="9" t="inlineStr">
        <is>
          <t>Oil Slick 1000 PCS Mylar Bags – Reusable Zipper Mylar Bags</t>
        </is>
      </c>
      <c r="C181" s="9" t="inlineStr">
        <is>
          <t>The Oil Slick 1000 PCS Mylar Bags are professional-grade resealable storage bags built for businesses, retailers, and anyone who needs reliable bulk packaging without the markup. Whether you're packaging retail goods, or…</t>
        </is>
      </c>
      <c r="D181" s="9" t="inlineStr">
        <is>
          <t>Size: 4x6.5 / Finish: Black w/ Clear Window</t>
        </is>
      </c>
      <c r="E181" s="13" t="inlineStr">
        <is>
          <t>m_black/w_4</t>
        </is>
      </c>
      <c r="F181" s="13" t="inlineStr">
        <is>
          <t>Bags</t>
        </is>
      </c>
      <c r="G181" s="11" t="n">
        <v>1000</v>
      </c>
      <c r="H181" s="13" t="inlineStr">
        <is>
          <t>pcs</t>
        </is>
      </c>
      <c r="I181" s="10" t="n">
        <v>24.99</v>
      </c>
      <c r="J181" s="10" t="inlineStr"/>
      <c r="K181" s="12">
        <f>IFERROR(I181/G181,"")</f>
        <v/>
      </c>
      <c r="L181" s="12">
        <f>IFERROR(J181/G181,"")</f>
        <v/>
      </c>
      <c r="M181" s="14">
        <f>IFERROR((I181-J181)/I181,"")</f>
        <v/>
      </c>
      <c r="N181" s="10" t="n">
        <v>79.95</v>
      </c>
      <c r="O181" s="11" t="n">
        <v>1000</v>
      </c>
      <c r="P181" s="12">
        <f>IFERROR(N181/O181,"")</f>
        <v/>
      </c>
      <c r="Q181" s="10" t="n">
        <v>44.81</v>
      </c>
      <c r="R181" s="11" t="n">
        <v>1000</v>
      </c>
      <c r="S181" s="12">
        <f>IFERROR(Q181/R181,"")</f>
        <v/>
      </c>
      <c r="T181" s="13" t="inlineStr">
        <is>
          <t>Observed</t>
        </is>
      </c>
      <c r="U181" s="9" t="inlineStr">
        <is>
          <t>https://dragonchewer.com/collections/1000-qty-mylar-bags</t>
        </is>
      </c>
      <c r="V181" s="9" t="inlineStr">
        <is>
          <t>Listing shows 1/4 Ounce Matte Black &amp; Clear Mylar Bags (1000 qty) as low as $79.95/case ($0.07/unit). | Low: Sale price observed on product page; may be clearance / promotional.</t>
        </is>
      </c>
      <c r="W181" s="13">
        <f>IF(G181="","",IF(G181&lt;=Assumptions!$B$9,Assumptions!$C$9,IF(G181&lt;=Assumptions!$B$10,Assumptions!$C$10,IF(G181&lt;=Assumptions!$B$11,Assumptions!$C$11,Assumptions!$C$12))))</f>
        <v/>
      </c>
      <c r="X181" s="13">
        <f>IF(F181="Branded",Assumptions!$B$5,IF(OR(F181="Packaging",F181="Bags"),Assumptions!$B$4,1))</f>
        <v/>
      </c>
      <c r="Y181" s="14">
        <f>IFERROR(VLOOKUP(F181,Assumptions!$A$16:$C$20,2,FALSE),0.40)</f>
        <v/>
      </c>
      <c r="Z181" s="14">
        <f>IFERROR(VLOOKUP(F181,Assumptions!$A$16:$C$20,3,FALSE),0.30)</f>
        <v/>
      </c>
      <c r="AA181" s="12">
        <f>IF(P181&lt;&gt;"",P181*X181*W181,IF(L181&lt;&gt;"",L181/(1-Y181),K181))</f>
        <v/>
      </c>
      <c r="AB181" s="12">
        <f>IF(L181&lt;&gt;"",L181/(1-Z181),"")</f>
        <v/>
      </c>
      <c r="AC181" s="12">
        <f>IF(AB181="",AA181,MAX(AA181,AB181))</f>
        <v/>
      </c>
      <c r="AD181" s="10">
        <f>IF(AC181="","",AC181*G181)</f>
        <v/>
      </c>
      <c r="AE181" s="10">
        <f>IF(AD181="","",ROUNDUP(AD181,0)-0.01)</f>
        <v/>
      </c>
      <c r="AF181" s="9">
        <f>IF(P181&lt;&gt;"","Competitor-based",IF(L181&lt;&gt;"","Cost+margin","Needs review"))</f>
        <v/>
      </c>
    </row>
    <row r="182" ht="46" customHeight="1">
      <c r="A182" s="13" t="inlineStr">
        <is>
          <t>oil-slick-1000pcs-mylar-bags</t>
        </is>
      </c>
      <c r="B182" s="9" t="inlineStr">
        <is>
          <t>Oil Slick 1000 PCS Mylar Bags – Reusable Zipper Mylar Bags</t>
        </is>
      </c>
      <c r="C182" s="9" t="inlineStr">
        <is>
          <t>The Oil Slick 1000 PCS Mylar Bags are professional-grade resealable storage bags built for businesses, retailers, and anyone who needs reliable bulk packaging without the markup. Whether you're packaging retail goods, or…</t>
        </is>
      </c>
      <c r="D182" s="9" t="inlineStr">
        <is>
          <t>Size: 5x8 / Finish: Black w/ Clear Window</t>
        </is>
      </c>
      <c r="E182" s="13" t="inlineStr">
        <is>
          <t>m_black/w_5</t>
        </is>
      </c>
      <c r="F182" s="13" t="inlineStr">
        <is>
          <t>Bags</t>
        </is>
      </c>
      <c r="G182" s="11" t="n">
        <v>1000</v>
      </c>
      <c r="H182" s="13" t="inlineStr">
        <is>
          <t>pcs</t>
        </is>
      </c>
      <c r="I182" s="10" t="n">
        <v>15.99</v>
      </c>
      <c r="J182" s="10" t="inlineStr"/>
      <c r="K182" s="12">
        <f>IFERROR(I182/G182,"")</f>
        <v/>
      </c>
      <c r="L182" s="12">
        <f>IFERROR(J182/G182,"")</f>
        <v/>
      </c>
      <c r="M182" s="14">
        <f>IFERROR((I182-J182)/I182,"")</f>
        <v/>
      </c>
      <c r="N182" s="10" t="n">
        <v>109.95</v>
      </c>
      <c r="O182" s="11" t="n">
        <v>1000</v>
      </c>
      <c r="P182" s="12">
        <f>IFERROR(N182/O182,"")</f>
        <v/>
      </c>
      <c r="Q182" s="10" t="inlineStr"/>
      <c r="R182" s="11" t="inlineStr"/>
      <c r="S182" s="12">
        <f>IFERROR(Q182/R182,"")</f>
        <v/>
      </c>
      <c r="T182" s="13" t="inlineStr">
        <is>
          <t>Observed</t>
        </is>
      </c>
      <c r="U182" s="9" t="inlineStr">
        <is>
          <t>https://dragonchewer.com/collections/1000-qty-mylar-bags</t>
        </is>
      </c>
      <c r="V182" s="9" t="inlineStr">
        <is>
          <t>Listing shows 1/2 Ounce Gloss Black &amp; Clear Mylar Bags (1000 qty) as low as $109.95/case ($0.10/unit).</t>
        </is>
      </c>
      <c r="W182" s="13">
        <f>IF(G182="","",IF(G182&lt;=Assumptions!$B$9,Assumptions!$C$9,IF(G182&lt;=Assumptions!$B$10,Assumptions!$C$10,IF(G182&lt;=Assumptions!$B$11,Assumptions!$C$11,Assumptions!$C$12))))</f>
        <v/>
      </c>
      <c r="X182" s="13">
        <f>IF(F182="Branded",Assumptions!$B$5,IF(OR(F182="Packaging",F182="Bags"),Assumptions!$B$4,1))</f>
        <v/>
      </c>
      <c r="Y182" s="14">
        <f>IFERROR(VLOOKUP(F182,Assumptions!$A$16:$C$20,2,FALSE),0.40)</f>
        <v/>
      </c>
      <c r="Z182" s="14">
        <f>IFERROR(VLOOKUP(F182,Assumptions!$A$16:$C$20,3,FALSE),0.30)</f>
        <v/>
      </c>
      <c r="AA182" s="12">
        <f>IF(P182&lt;&gt;"",P182*X182*W182,IF(L182&lt;&gt;"",L182/(1-Y182),K182))</f>
        <v/>
      </c>
      <c r="AB182" s="12">
        <f>IF(L182&lt;&gt;"",L182/(1-Z182),"")</f>
        <v/>
      </c>
      <c r="AC182" s="12">
        <f>IF(AB182="",AA182,MAX(AA182,AB182))</f>
        <v/>
      </c>
      <c r="AD182" s="10">
        <f>IF(AC182="","",AC182*G182)</f>
        <v/>
      </c>
      <c r="AE182" s="10">
        <f>IF(AD182="","",ROUNDUP(AD182,0)-0.01)</f>
        <v/>
      </c>
      <c r="AF182" s="9">
        <f>IF(P182&lt;&gt;"","Competitor-based",IF(L182&lt;&gt;"","Cost+margin","Needs review"))</f>
        <v/>
      </c>
    </row>
    <row r="183" ht="46" customHeight="1">
      <c r="A183" s="13" t="inlineStr">
        <is>
          <t>oil-slick-1000pcs-mylar-bags</t>
        </is>
      </c>
      <c r="B183" s="9" t="inlineStr">
        <is>
          <t>Oil Slick 1000 PCS Mylar Bags – Reusable Zipper Mylar Bags</t>
        </is>
      </c>
      <c r="C183" s="9" t="inlineStr">
        <is>
          <t>The Oil Slick 1000 PCS Mylar Bags are professional-grade resealable storage bags built for businesses, retailers, and anyone who needs reliable bulk packaging without the markup. Whether you're packaging retail goods, or…</t>
        </is>
      </c>
      <c r="D183" s="9" t="inlineStr">
        <is>
          <t>Size: 6x9 / Finish: Black</t>
        </is>
      </c>
      <c r="E183" s="13" t="inlineStr">
        <is>
          <t>m_black_6_9</t>
        </is>
      </c>
      <c r="F183" s="13" t="inlineStr">
        <is>
          <t>Bags</t>
        </is>
      </c>
      <c r="G183" s="11" t="n">
        <v>1000</v>
      </c>
      <c r="H183" s="13" t="inlineStr">
        <is>
          <t>pcs</t>
        </is>
      </c>
      <c r="I183" s="10" t="n">
        <v>19.99</v>
      </c>
      <c r="J183" s="10" t="inlineStr"/>
      <c r="K183" s="12">
        <f>IFERROR(I183/G183,"")</f>
        <v/>
      </c>
      <c r="L183" s="12">
        <f>IFERROR(J183/G183,"")</f>
        <v/>
      </c>
      <c r="M183" s="14">
        <f>IFERROR((I183-J183)/I183,"")</f>
        <v/>
      </c>
      <c r="N183" s="10" t="n">
        <v>129.95</v>
      </c>
      <c r="O183" s="11" t="n">
        <v>1000</v>
      </c>
      <c r="P183" s="12">
        <f>IFERROR(N183/O183,"")</f>
        <v/>
      </c>
      <c r="Q183" s="10" t="inlineStr"/>
      <c r="R183" s="11" t="inlineStr"/>
      <c r="S183" s="12">
        <f>IFERROR(Q183/R183,"")</f>
        <v/>
      </c>
      <c r="T183" s="13" t="inlineStr">
        <is>
          <t>Observed</t>
        </is>
      </c>
      <c r="U183" s="9" t="inlineStr">
        <is>
          <t>https://dragonchewer.com/collections/1000-qty-mylar-bags</t>
        </is>
      </c>
      <c r="V183" s="9" t="inlineStr">
        <is>
          <t>Listing shows 1 Ounce Gloss Black &amp; Clear Mylar Bags (1000 qty) as low as $129.95/case ($0.12/unit).</t>
        </is>
      </c>
      <c r="W183" s="13">
        <f>IF(G183="","",IF(G183&lt;=Assumptions!$B$9,Assumptions!$C$9,IF(G183&lt;=Assumptions!$B$10,Assumptions!$C$10,IF(G183&lt;=Assumptions!$B$11,Assumptions!$C$11,Assumptions!$C$12))))</f>
        <v/>
      </c>
      <c r="X183" s="13">
        <f>IF(F183="Branded",Assumptions!$B$5,IF(OR(F183="Packaging",F183="Bags"),Assumptions!$B$4,1))</f>
        <v/>
      </c>
      <c r="Y183" s="14">
        <f>IFERROR(VLOOKUP(F183,Assumptions!$A$16:$C$20,2,FALSE),0.40)</f>
        <v/>
      </c>
      <c r="Z183" s="14">
        <f>IFERROR(VLOOKUP(F183,Assumptions!$A$16:$C$20,3,FALSE),0.30)</f>
        <v/>
      </c>
      <c r="AA183" s="12">
        <f>IF(P183&lt;&gt;"",P183*X183*W183,IF(L183&lt;&gt;"",L183/(1-Y183),K183))</f>
        <v/>
      </c>
      <c r="AB183" s="12">
        <f>IF(L183&lt;&gt;"",L183/(1-Z183),"")</f>
        <v/>
      </c>
      <c r="AC183" s="12">
        <f>IF(AB183="",AA183,MAX(AA183,AB183))</f>
        <v/>
      </c>
      <c r="AD183" s="10">
        <f>IF(AC183="","",AC183*G183)</f>
        <v/>
      </c>
      <c r="AE183" s="10">
        <f>IF(AD183="","",ROUNDUP(AD183,0)-0.01)</f>
        <v/>
      </c>
      <c r="AF183" s="9">
        <f>IF(P183&lt;&gt;"","Competitor-based",IF(L183&lt;&gt;"","Cost+margin","Needs review"))</f>
        <v/>
      </c>
    </row>
    <row r="184" ht="46" customHeight="1">
      <c r="A184" s="13" t="inlineStr">
        <is>
          <t>oil-slick-1000pcs-mylar-bags</t>
        </is>
      </c>
      <c r="B184" s="9" t="inlineStr">
        <is>
          <t>Oil Slick 1000 PCS Mylar Bags – Reusable Zipper Mylar Bags</t>
        </is>
      </c>
      <c r="C184" s="9" t="inlineStr">
        <is>
          <t>The Oil Slick 1000 PCS Mylar Bags are professional-grade resealable storage bags built for businesses, retailers, and anyone who needs reliable bulk packaging without the markup. Whether you're packaging retail goods, or…</t>
        </is>
      </c>
      <c r="D184" s="9" t="inlineStr">
        <is>
          <t>Size: 6x9 / Finish: Black w/ Clear Window</t>
        </is>
      </c>
      <c r="E184" s="13" t="inlineStr">
        <is>
          <t>m_black/w_6_9</t>
        </is>
      </c>
      <c r="F184" s="13" t="inlineStr">
        <is>
          <t>Bags</t>
        </is>
      </c>
      <c r="G184" s="11" t="n">
        <v>1000</v>
      </c>
      <c r="H184" s="13" t="inlineStr">
        <is>
          <t>pcs</t>
        </is>
      </c>
      <c r="I184" s="10" t="n">
        <v>22.49</v>
      </c>
      <c r="J184" s="10" t="inlineStr"/>
      <c r="K184" s="12">
        <f>IFERROR(I184/G184,"")</f>
        <v/>
      </c>
      <c r="L184" s="12">
        <f>IFERROR(J184/G184,"")</f>
        <v/>
      </c>
      <c r="M184" s="14">
        <f>IFERROR((I184-J184)/I184,"")</f>
        <v/>
      </c>
      <c r="N184" s="10" t="n">
        <v>129.95</v>
      </c>
      <c r="O184" s="11" t="n">
        <v>1000</v>
      </c>
      <c r="P184" s="12">
        <f>IFERROR(N184/O184,"")</f>
        <v/>
      </c>
      <c r="Q184" s="10" t="inlineStr"/>
      <c r="R184" s="11" t="inlineStr"/>
      <c r="S184" s="12">
        <f>IFERROR(Q184/R184,"")</f>
        <v/>
      </c>
      <c r="T184" s="13" t="inlineStr">
        <is>
          <t>Observed</t>
        </is>
      </c>
      <c r="U184" s="9" t="inlineStr">
        <is>
          <t>https://dragonchewer.com/collections/1000-qty-mylar-bags</t>
        </is>
      </c>
      <c r="V184" s="9" t="inlineStr">
        <is>
          <t>Listing shows 1 Ounce Gloss Black &amp; Clear Mylar Bags (1000 qty) as low as $129.95/case ($0.12/unit).</t>
        </is>
      </c>
      <c r="W184" s="13">
        <f>IF(G184="","",IF(G184&lt;=Assumptions!$B$9,Assumptions!$C$9,IF(G184&lt;=Assumptions!$B$10,Assumptions!$C$10,IF(G184&lt;=Assumptions!$B$11,Assumptions!$C$11,Assumptions!$C$12))))</f>
        <v/>
      </c>
      <c r="X184" s="13">
        <f>IF(F184="Branded",Assumptions!$B$5,IF(OR(F184="Packaging",F184="Bags"),Assumptions!$B$4,1))</f>
        <v/>
      </c>
      <c r="Y184" s="14">
        <f>IFERROR(VLOOKUP(F184,Assumptions!$A$16:$C$20,2,FALSE),0.40)</f>
        <v/>
      </c>
      <c r="Z184" s="14">
        <f>IFERROR(VLOOKUP(F184,Assumptions!$A$16:$C$20,3,FALSE),0.30)</f>
        <v/>
      </c>
      <c r="AA184" s="12">
        <f>IF(P184&lt;&gt;"",P184*X184*W184,IF(L184&lt;&gt;"",L184/(1-Y184),K184))</f>
        <v/>
      </c>
      <c r="AB184" s="12">
        <f>IF(L184&lt;&gt;"",L184/(1-Z184),"")</f>
        <v/>
      </c>
      <c r="AC184" s="12">
        <f>IF(AB184="",AA184,MAX(AA184,AB184))</f>
        <v/>
      </c>
      <c r="AD184" s="10">
        <f>IF(AC184="","",AC184*G184)</f>
        <v/>
      </c>
      <c r="AE184" s="10">
        <f>IF(AD184="","",ROUNDUP(AD184,0)-0.01)</f>
        <v/>
      </c>
      <c r="AF184" s="9">
        <f>IF(P184&lt;&gt;"","Competitor-based",IF(L184&lt;&gt;"","Cost+margin","Needs review"))</f>
        <v/>
      </c>
    </row>
    <row r="185" ht="46" customHeight="1">
      <c r="A185" s="13" t="inlineStr">
        <is>
          <t>oil-slick-1000pcs-mylar-bags</t>
        </is>
      </c>
      <c r="B185" s="9" t="inlineStr">
        <is>
          <t>Oil Slick 1000 PCS Mylar Bags – Reusable Zipper Mylar Bags</t>
        </is>
      </c>
      <c r="C185" s="9" t="inlineStr">
        <is>
          <t>The Oil Slick 1000 PCS Mylar Bags are professional-grade resealable storage bags built for businesses, retailers, and anyone who needs reliable bulk packaging without the markup. Whether you're packaging retail goods, or…</t>
        </is>
      </c>
      <c r="D185" s="9" t="inlineStr">
        <is>
          <t>Size: 9x2.5 (Preroll) / Finish: Black</t>
        </is>
      </c>
      <c r="E185" s="13" t="inlineStr">
        <is>
          <t>m_black_2.5_9</t>
        </is>
      </c>
      <c r="F185" s="13" t="inlineStr">
        <is>
          <t>Bags</t>
        </is>
      </c>
      <c r="G185" s="11" t="n">
        <v>1000</v>
      </c>
      <c r="H185" s="13" t="inlineStr">
        <is>
          <t>pcs</t>
        </is>
      </c>
      <c r="I185" s="10" t="n">
        <v>74.98999999999999</v>
      </c>
      <c r="J185" s="10" t="inlineStr"/>
      <c r="K185" s="12">
        <f>IFERROR(I185/G185,"")</f>
        <v/>
      </c>
      <c r="L185" s="12">
        <f>IFERROR(J185/G185,"")</f>
        <v/>
      </c>
      <c r="M185" s="14">
        <f>IFERROR((I185-J185)/I185,"")</f>
        <v/>
      </c>
      <c r="N185" s="10" t="n">
        <v>79.95</v>
      </c>
      <c r="O185" s="11" t="n">
        <v>1000</v>
      </c>
      <c r="P185" s="12">
        <f>IFERROR(N185/O185,"")</f>
        <v/>
      </c>
      <c r="Q185" s="10" t="inlineStr"/>
      <c r="R185" s="11" t="inlineStr"/>
      <c r="S185" s="12">
        <f>IFERROR(Q185/R185,"")</f>
        <v/>
      </c>
      <c r="T185" s="13" t="inlineStr">
        <is>
          <t>Observed</t>
        </is>
      </c>
      <c r="U185" s="9" t="inlineStr">
        <is>
          <t>https://dragonchewer.com/products/2-5-x-9-inch-matte-black-syringe-mylar-bags-1000-qty</t>
        </is>
      </c>
      <c r="V185" s="9" t="inlineStr">
        <is>
          <t>Product page shows sale price $79.95 for 1000 qty (2.5x9).</t>
        </is>
      </c>
      <c r="W185" s="13">
        <f>IF(G185="","",IF(G185&lt;=Assumptions!$B$9,Assumptions!$C$9,IF(G185&lt;=Assumptions!$B$10,Assumptions!$C$10,IF(G185&lt;=Assumptions!$B$11,Assumptions!$C$11,Assumptions!$C$12))))</f>
        <v/>
      </c>
      <c r="X185" s="13">
        <f>IF(F185="Branded",Assumptions!$B$5,IF(OR(F185="Packaging",F185="Bags"),Assumptions!$B$4,1))</f>
        <v/>
      </c>
      <c r="Y185" s="14">
        <f>IFERROR(VLOOKUP(F185,Assumptions!$A$16:$C$20,2,FALSE),0.40)</f>
        <v/>
      </c>
      <c r="Z185" s="14">
        <f>IFERROR(VLOOKUP(F185,Assumptions!$A$16:$C$20,3,FALSE),0.30)</f>
        <v/>
      </c>
      <c r="AA185" s="12">
        <f>IF(P185&lt;&gt;"",P185*X185*W185,IF(L185&lt;&gt;"",L185/(1-Y185),K185))</f>
        <v/>
      </c>
      <c r="AB185" s="12">
        <f>IF(L185&lt;&gt;"",L185/(1-Z185),"")</f>
        <v/>
      </c>
      <c r="AC185" s="12">
        <f>IF(AB185="",AA185,MAX(AA185,AB185))</f>
        <v/>
      </c>
      <c r="AD185" s="10">
        <f>IF(AC185="","",AC185*G185)</f>
        <v/>
      </c>
      <c r="AE185" s="10">
        <f>IF(AD185="","",ROUNDUP(AD185,0)-0.01)</f>
        <v/>
      </c>
      <c r="AF185" s="9">
        <f>IF(P185&lt;&gt;"","Competitor-based",IF(L185&lt;&gt;"","Cost+margin","Needs review"))</f>
        <v/>
      </c>
    </row>
    <row r="186" ht="46" customHeight="1">
      <c r="A186" s="13" t="inlineStr">
        <is>
          <t>oil-slick-1000pcs-mylar-bags</t>
        </is>
      </c>
      <c r="B186" s="9" t="inlineStr">
        <is>
          <t>Oil Slick 1000 PCS Mylar Bags – Reusable Zipper Mylar Bags</t>
        </is>
      </c>
      <c r="C186" s="9" t="inlineStr">
        <is>
          <t>The Oil Slick 1000 PCS Mylar Bags are professional-grade resealable storage bags built for businesses, retailers, and anyone who needs reliable bulk packaging without the markup. Whether you're packaging retail goods, or…</t>
        </is>
      </c>
      <c r="D186" s="9" t="inlineStr">
        <is>
          <t>Size: 9x2.5 (Preroll) / Finish: Black w/ Clear Window</t>
        </is>
      </c>
      <c r="E186" s="13" t="inlineStr">
        <is>
          <t>m_black/w_2.5_9</t>
        </is>
      </c>
      <c r="F186" s="13" t="inlineStr">
        <is>
          <t>Bags</t>
        </is>
      </c>
      <c r="G186" s="11" t="n">
        <v>1000</v>
      </c>
      <c r="H186" s="13" t="inlineStr">
        <is>
          <t>pcs</t>
        </is>
      </c>
      <c r="I186" s="10" t="n">
        <v>24.99</v>
      </c>
      <c r="J186" s="10" t="inlineStr"/>
      <c r="K186" s="12">
        <f>IFERROR(I186/G186,"")</f>
        <v/>
      </c>
      <c r="L186" s="12">
        <f>IFERROR(J186/G186,"")</f>
        <v/>
      </c>
      <c r="M186" s="14">
        <f>IFERROR((I186-J186)/I186,"")</f>
        <v/>
      </c>
      <c r="N186" s="10" t="n">
        <v>79.95</v>
      </c>
      <c r="O186" s="11" t="n">
        <v>1000</v>
      </c>
      <c r="P186" s="12">
        <f>IFERROR(N186/O186,"")</f>
        <v/>
      </c>
      <c r="Q186" s="10" t="inlineStr"/>
      <c r="R186" s="11" t="inlineStr"/>
      <c r="S186" s="12">
        <f>IFERROR(Q186/R186,"")</f>
        <v/>
      </c>
      <c r="T186" s="13" t="inlineStr">
        <is>
          <t>Observed</t>
        </is>
      </c>
      <c r="U186" s="9" t="inlineStr">
        <is>
          <t>https://dragonchewer.com/products/2-5-x-9-inch-matte-black-syringe-mylar-bags-1000-qty</t>
        </is>
      </c>
      <c r="V186" s="9" t="inlineStr">
        <is>
          <t>Product page shows sale price $79.95 for 1000 qty (2.5x9).</t>
        </is>
      </c>
      <c r="W186" s="13">
        <f>IF(G186="","",IF(G186&lt;=Assumptions!$B$9,Assumptions!$C$9,IF(G186&lt;=Assumptions!$B$10,Assumptions!$C$10,IF(G186&lt;=Assumptions!$B$11,Assumptions!$C$11,Assumptions!$C$12))))</f>
        <v/>
      </c>
      <c r="X186" s="13">
        <f>IF(F186="Branded",Assumptions!$B$5,IF(OR(F186="Packaging",F186="Bags"),Assumptions!$B$4,1))</f>
        <v/>
      </c>
      <c r="Y186" s="14">
        <f>IFERROR(VLOOKUP(F186,Assumptions!$A$16:$C$20,2,FALSE),0.40)</f>
        <v/>
      </c>
      <c r="Z186" s="14">
        <f>IFERROR(VLOOKUP(F186,Assumptions!$A$16:$C$20,3,FALSE),0.30)</f>
        <v/>
      </c>
      <c r="AA186" s="12">
        <f>IF(P186&lt;&gt;"",P186*X186*W186,IF(L186&lt;&gt;"",L186/(1-Y186),K186))</f>
        <v/>
      </c>
      <c r="AB186" s="12">
        <f>IF(L186&lt;&gt;"",L186/(1-Z186),"")</f>
        <v/>
      </c>
      <c r="AC186" s="12">
        <f>IF(AB186="",AA186,MAX(AA186,AB186))</f>
        <v/>
      </c>
      <c r="AD186" s="10">
        <f>IF(AC186="","",AC186*G186)</f>
        <v/>
      </c>
      <c r="AE186" s="10">
        <f>IF(AD186="","",ROUNDUP(AD186,0)-0.01)</f>
        <v/>
      </c>
      <c r="AF186" s="9">
        <f>IF(P186&lt;&gt;"","Competitor-based",IF(L186&lt;&gt;"","Cost+margin","Needs review"))</f>
        <v/>
      </c>
    </row>
  </sheetData>
  <autoFilter ref="A2:AF1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2026-02-11T17:46:18Z</dcterms:created>
  <dcterms:modified xmlns:dcterms="http://purl.org/dc/terms/" xmlns:xsi="http://www.w3.org/2001/XMLSchema-instance" xsi:type="dcterms:W3CDTF">2026-02-11T17:46:19Z</dcterms:modified>
</cp:coreProperties>
</file>